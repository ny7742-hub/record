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xl/worksheets/sheet2.xml" ContentType="application/vnd.openxmlformats-officedocument.spreadsheetml.worksheet+xml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firstSheet="1" activeTab="2"/>
  </bookViews>
  <sheets>
    <sheet sheetId="8" name="양식" state="hidden" r:id="rId4"/>
    <sheet sheetId="2" name="SUMMARY" state="visible" r:id="rId5"/>
    <sheet sheetId="9" name="발주서" state="visible" r:id="rId6"/>
    <sheet sheetId="7" name="배송지" state="visible" r:id="rId7"/>
    <sheet sheetId="5" name="상품코드" state="visible" r:id="rId8"/>
    <sheet sheetId="4" name="상품정보2" state="hidden" r:id="rId9"/>
    <sheet sheetId="6" name="상품정보(1)" state="visible" r:id="rId10"/>
  </sheets>
  <definedNames>
    <definedName name="_xlnm._FilterDatabase">'양식'!$A$1:$T$15</definedName>
  </definedNames>
  <calcPr calcId="171027"/>
</workbook>
</file>

<file path=xl/sharedStrings.xml><?xml version="1.0" encoding="utf-8"?>
<sst xmlns="http://schemas.openxmlformats.org/spreadsheetml/2006/main" count="298" uniqueCount="237">
  <si>
    <t>출고일</t>
  </si>
  <si>
    <t>주문번호(샤방넷)</t>
  </si>
  <si>
    <t>주문번호(쇼핑몰)</t>
  </si>
  <si>
    <t>쇼핑몰</t>
  </si>
  <si>
    <t>수령인</t>
  </si>
  <si>
    <t>택배사</t>
  </si>
  <si>
    <t>송장번호</t>
  </si>
  <si>
    <t>받는분연락처</t>
  </si>
  <si>
    <t>받는분기타연락처</t>
  </si>
  <si>
    <t>주소</t>
  </si>
  <si>
    <t>배송메세지</t>
  </si>
  <si>
    <t>상품명</t>
  </si>
  <si>
    <t>수량</t>
  </si>
  <si>
    <t>결제금액</t>
  </si>
  <si>
    <t>큐텐(한글상품명)</t>
  </si>
  <si>
    <t>바코드</t>
  </si>
  <si>
    <t>큐텐바코드</t>
  </si>
  <si>
    <t>상품코드</t>
  </si>
  <si>
    <t>쇼핑몰(참고용)</t>
  </si>
  <si>
    <t>인천4</t>
  </si>
  <si>
    <t>니트 스트링 보닛햇 메리몬 아이보리</t>
  </si>
  <si>
    <t>앙고라 버킷햇 베이시 퍼플</t>
  </si>
  <si>
    <t>니트 보닛햇 허슬리아 블랙</t>
  </si>
  <si>
    <t>헤링본 코듀로이 자수 버킷햇 로렌스 블랙</t>
  </si>
  <si>
    <t>이천2</t>
  </si>
  <si>
    <t>니트 트루퍼 비니 헤이스 블랙</t>
  </si>
  <si>
    <t>경기광주3</t>
  </si>
  <si>
    <t>플로우 라인 배색 니트 버킷햇 피터리 그레이</t>
  </si>
  <si>
    <t>니트 보닛햇 허슬리아 오트밀</t>
  </si>
  <si>
    <t>인천28</t>
  </si>
  <si>
    <t>이천3</t>
  </si>
  <si>
    <t>플로우 라인 배색 니트 버킷햇 피터리 블랙</t>
  </si>
  <si>
    <t>창원1</t>
  </si>
  <si>
    <t>인천30</t>
  </si>
  <si>
    <t>대구2</t>
  </si>
  <si>
    <t>NO</t>
  </si>
  <si>
    <t>바코드 필요수량</t>
  </si>
  <si>
    <t>합계</t>
  </si>
  <si>
    <t>주문번호(사방넷)</t>
  </si>
  <si>
    <t>운송장번호</t>
  </si>
  <si>
    <t>상품컬러코드</t>
  </si>
  <si>
    <t>상품명(수집)</t>
  </si>
  <si>
    <t>옵션(수집)</t>
  </si>
  <si>
    <t>주문자명</t>
  </si>
  <si>
    <t>구분</t>
  </si>
  <si>
    <t>연락처</t>
  </si>
  <si>
    <t>경기도 이천시 마장면 이장로 329-38 (택배수령담당자 : 070-5158-8142)</t>
  </si>
  <si>
    <t>070-5158-8142</t>
  </si>
  <si>
    <t>경기도 이천시 대월면 대장로 190 3층 (택배수령담당자 : 070-5158-8147)</t>
  </si>
  <si>
    <t>070-5158-8147</t>
  </si>
  <si>
    <t>인천16</t>
  </si>
  <si>
    <t>인천광역시 중구 항동7가 104-1 (택배수령담당자 : 070-4754-0751)</t>
  </si>
  <si>
    <t>070-4754-0751</t>
  </si>
  <si>
    <t>인천광역시 서구 북항로 120번길 55, A동 7~9F (택배수령담당자 : 070-4741-9123)</t>
  </si>
  <si>
    <t>070-4741-9123</t>
  </si>
  <si>
    <t>이천4</t>
  </si>
  <si>
    <t>경기도 이천시 부발읍 송온리 442 2층 (택배수령담당자 : 070-5154-1564)</t>
  </si>
  <si>
    <t>070-5154-1564</t>
  </si>
  <si>
    <t>경기광주5</t>
  </si>
  <si>
    <t>경기도 광주시 오포로297번길 35 3층 (택배수령담당자 : 070-4786-7034)</t>
  </si>
  <si>
    <t>070-4786-7034</t>
  </si>
  <si>
    <t>대구3</t>
  </si>
  <si>
    <t>대구광역시 달성군 구지면 국가산단대로46길 113 (택배수령담당자 : 070-5161-9378)</t>
  </si>
  <si>
    <t>070-5161-9378</t>
  </si>
  <si>
    <t>안성8</t>
  </si>
  <si>
    <t>경기도 안성시 일죽면 능국리 23-10, 836-4 우회전 (택배수령담당자 : 070-5158-0095, 070-5154-6131)</t>
  </si>
  <si>
    <t>070-5158-0095</t>
  </si>
  <si>
    <t>광주시 오포로 297번길 54 (택배수령담당자 : 070-4732-1870)</t>
  </si>
  <si>
    <t>070-4732-1870</t>
  </si>
  <si>
    <t>이천1</t>
  </si>
  <si>
    <t>경기도 이천시 부발읍 중부대로 1763번길 80-7 (택배수령담당자 : 070-4112-5205)</t>
  </si>
  <si>
    <t>070-4112-5205</t>
  </si>
  <si>
    <t>대구8</t>
  </si>
  <si>
    <t>대구광역시 달성군 구지면 국가산단대로46길 113, 1A-04도크 (택배수령담당자 : 070-4756-9603)</t>
  </si>
  <si>
    <t>070-4756-9603</t>
  </si>
  <si>
    <t>평택4</t>
  </si>
  <si>
    <t>경기도 평택시 포승읍 희곡리 847, 1F (택배수령담당자 : 070-4738-1361)</t>
  </si>
  <si>
    <t>070-4738-1361</t>
  </si>
  <si>
    <t>경상남도 창원시 진해구 두동로 33 A동 5층 (택배수령담당자 : 070-4420-4468)</t>
  </si>
  <si>
    <t>070-4420-4468</t>
  </si>
  <si>
    <t>인천14</t>
  </si>
  <si>
    <t>인천광역시 중구 축항대로 165번길 20, 쿠팡14센터 7층 (택배수령담당자 : 070-7824-4674)</t>
  </si>
  <si>
    <t>070-7824-4674</t>
  </si>
  <si>
    <t>인천 서구 오류동 1545-2 쿠팡 인천4물류센터 (택배수령담당자 : 070-4481-8846)</t>
  </si>
  <si>
    <t>070-4481-8846</t>
  </si>
  <si>
    <t>서울</t>
  </si>
  <si>
    <t>서울특별시 송파구 송파대로 55 E동 쿠팡서울물류센터 1층 10번 Dock (택배수령담당자 : 070-5038-6954)</t>
  </si>
  <si>
    <t>070-5038-6954</t>
  </si>
  <si>
    <t>경기광주1</t>
  </si>
  <si>
    <t>경기도 광주시 도척면 진우리 1006번지 쿠팡 KKW1센터 (택배수령담당자 : 070-4276-0888)</t>
  </si>
  <si>
    <t>070-4276-0888</t>
  </si>
  <si>
    <t>시흥2</t>
  </si>
  <si>
    <t>경기도 시흥시 정왕동 2123-3 번지 (6F) (택배수령담당자 : 070-4179-3271)</t>
  </si>
  <si>
    <t>070-4179-3271</t>
  </si>
  <si>
    <t>인천광역시 서구 거북로13, 5층 (택배수령담당자 : 070-5159-0578)</t>
  </si>
  <si>
    <t>070-5159-0578</t>
  </si>
  <si>
    <t>창원4</t>
  </si>
  <si>
    <t>경상남도 창원시 진해구 두동남로 52 2층 (택배수령담당자 : 070-5167-2371)</t>
  </si>
  <si>
    <t>070-5167-2371</t>
  </si>
  <si>
    <t>김해2</t>
  </si>
  <si>
    <t>경상남도 김해시 상동면 대감리 5-8번지(2F), 김해2 물류센터 (택배수령담당자 : 070-4112-4660)</t>
  </si>
  <si>
    <t>070-4112-4660</t>
  </si>
  <si>
    <t>동탄1</t>
  </si>
  <si>
    <t>경기도 화성시 신동 703 동탄쿠팡물류센터 2층 1문 (택배수령담당자 : 070-7771-6872)</t>
  </si>
  <si>
    <t>070-7771-6872</t>
  </si>
  <si>
    <t>안성5</t>
  </si>
  <si>
    <t>경기도 안성시 원곡면 원곡물류단지 1로 61 (택배수령담당자 : 070-7732-9074)</t>
  </si>
  <si>
    <t>070-7732-9074</t>
  </si>
  <si>
    <t>인천26</t>
  </si>
  <si>
    <t>인천광역시 서구 북항로 120번길 55, 3F (택배수령담당자 : 070-7824-4666)</t>
  </si>
  <si>
    <t>070-7824-4666</t>
  </si>
  <si>
    <t>목천1</t>
  </si>
  <si>
    <t>충청남도 천안시 동남구 수신면 5산단로 185 (택배수령담당자 : 070-4236-1598)</t>
  </si>
  <si>
    <t>070-4236-1598</t>
  </si>
  <si>
    <t>창원3</t>
  </si>
  <si>
    <t>경상남도 창원시 진해구 두동로 34 302번 도크 (택배수령담당자 : 070-5154-9950)</t>
  </si>
  <si>
    <t>070-5154-9950</t>
  </si>
  <si>
    <t>경기도 광주시 오포로 297번길 54, 2층 (택배수령담당자 : 070-4732-1870)</t>
  </si>
  <si>
    <t>고양1</t>
  </si>
  <si>
    <t>경기도 고양시 덕양구 권율대로 570 , 쿠팡 고양1 물류센터 3번 Gate, 구) 경기도 고양시 덕양구 원흥동 701 3번 게이트 (접수 후 층 안내) (택배수령담당자 : 070-7730-9778)</t>
  </si>
  <si>
    <t>070-7730-9778</t>
  </si>
  <si>
    <t>경상북도 칠곡군 지천면 연화리 700번지 영남복함물류 9동 쿠팡 제6물류센터 (택배수령담당자 : 070-4915-9269)</t>
  </si>
  <si>
    <t>070-4915-9269</t>
  </si>
  <si>
    <t>부천1</t>
  </si>
  <si>
    <t>경기도 부천시 신흥로 511번길 80 켄달스퀘어 3F B동 (택배수령담당자 : 070-8898-8564)</t>
  </si>
  <si>
    <t>070-8898-8564</t>
  </si>
  <si>
    <t>천안</t>
  </si>
  <si>
    <t>충청남도 천안시 서북구 입장면 용정리 113-3번지 2층 쿠팡 천안 물류센터 (택배수령담당자 : 070-8855-1738)</t>
  </si>
  <si>
    <t>070-8855-1738</t>
  </si>
  <si>
    <t>광주4</t>
  </si>
  <si>
    <t>광주광역시 광산구 연산동 1250 (택배수령담당자 : 070-4735-8079)</t>
  </si>
  <si>
    <t>070-4735-8079</t>
  </si>
  <si>
    <t>양지5</t>
  </si>
  <si>
    <t>경기도 용인시 처인구 양지면 제일리 789 쿠팡양지5물류센터 6F,8F,10F (택배수령담당자 : 070-4449-3619)</t>
  </si>
  <si>
    <t>070-4449-3619</t>
  </si>
  <si>
    <t>대구6</t>
  </si>
  <si>
    <t>경상북도 칠곡군 지천면 금호로 272 영남복합물류공사 8동 (택배수령담당자 : 070-5158-6437)</t>
  </si>
  <si>
    <t>070-5158-6437</t>
  </si>
  <si>
    <t>안산2</t>
  </si>
  <si>
    <t>경기도 안산시 단원구 성곡동 796 (택배수령담당자 : 070-4754-8771)</t>
  </si>
  <si>
    <t>070-4754-8771</t>
  </si>
  <si>
    <t>안성4</t>
  </si>
  <si>
    <t>경기도 안성시 죽산면 장능리 35-4 (녹배길 35) (택배수령담당자 : 070-4941-7302)</t>
  </si>
  <si>
    <t>070-4941-7302</t>
  </si>
  <si>
    <t>마장1</t>
  </si>
  <si>
    <t>경기도 이천시 마장면 청강가창로 309, 켄달스퀘어 A동 2층/3층 (택배수령담당자 : 070-4449-3619 / 070-4449-3620)</t>
  </si>
  <si>
    <t>070-4449-3619 / 070-4449-3620</t>
  </si>
  <si>
    <t>양산1</t>
  </si>
  <si>
    <t>경상남도 양산시 물금읍 제방로 27 KIFT A동 (택배수령담당자 : 070-4452-8234)</t>
  </si>
  <si>
    <t>070-4452-8234</t>
  </si>
  <si>
    <t>평택1</t>
  </si>
  <si>
    <t>평택시 포승읍 만호리 666 BLK평택 물류센터 4층 408도크 (택배수령담당자 : 070-4106-8409)</t>
  </si>
  <si>
    <t>070-4106-8409</t>
  </si>
  <si>
    <t>전라광주2</t>
  </si>
  <si>
    <t>광주광역시 광산구 평동산단9번로 43 6F ~ 8F (택배수령담당자 : 070-5150-0951)</t>
  </si>
  <si>
    <t>070-5150-0951</t>
  </si>
  <si>
    <t>전라광주4</t>
  </si>
  <si>
    <t>인천36</t>
  </si>
  <si>
    <t>인천광역시 서구 북항로 120번길 55, A동 6층 (택배수령담당자 : 070-4779-6150)</t>
  </si>
  <si>
    <t>070-4779-6150</t>
  </si>
  <si>
    <t>천안2</t>
  </si>
  <si>
    <t>충남 천안시 서북구 새터길 5 (택배수령담당자 : 070-7682-4286)</t>
  </si>
  <si>
    <t>070-7682-4286</t>
  </si>
  <si>
    <t>인천32</t>
  </si>
  <si>
    <t>인천광역시 서구 봉수대로 370 B동 2F~7F (택배수령담당자 : 070-4747-2982)</t>
  </si>
  <si>
    <t>070-4747-2982</t>
  </si>
  <si>
    <t>천안6</t>
  </si>
  <si>
    <t>충남 천안시 서북구 입장면 용정도하길 181 4F (택배수령담당자 : 070-4763-7951)</t>
  </si>
  <si>
    <t>070-4763-7951</t>
  </si>
  <si>
    <t>용인1</t>
  </si>
  <si>
    <t>경기도 용인시 처인구 백암면 백봉리 488 (경기도 용인시 처인구 백암면 백봉로 295번길 60)(택배수령담당자 :+827042045121)</t>
  </si>
  <si>
    <t xml:space="preserve">인천42	</t>
  </si>
  <si>
    <t>인천광역시 서구 봉수대로 370, 쿠팡42센터(A동) 7층 710(택배수령담당자 :+827047472984)</t>
  </si>
  <si>
    <t>070-4747-2984</t>
  </si>
  <si>
    <t>서울특별시 송파구 송파대로 55 E동 쿠팡서울물류센터 1층 10번 Dock(택배수령담당자 :+827050386954)</t>
  </si>
  <si>
    <t>안산3</t>
  </si>
  <si>
    <t>경기도 안산시 단원구 시화호수로 835, 3~4F(택배수령담당자 :+827047548771)</t>
  </si>
  <si>
    <t>경상남도 창원시 진해구 두동로 34 302번 도크(택배수령담당자 :+827051549950)</t>
  </si>
  <si>
    <t>충남 천안시 서북구 새터길 5(택배수령담당자 :+827076824286)</t>
  </si>
  <si>
    <t>인천42</t>
  </si>
  <si>
    <t>인천광역시 서구 봉수대로 370 팔렛트럭은 1층접수처경유, A710도크 일반 택배하차구역(빨간색 팔렛트)(택배수령담당자 :+827047472984)</t>
  </si>
  <si>
    <t>인천45</t>
  </si>
  <si>
    <t>인천 미추홀구 도화동 1042, 8층 A7, A8번 도크 앞(택배수령담당자 :+827051723290)</t>
  </si>
  <si>
    <t>070-5172-3290</t>
  </si>
  <si>
    <t>호법</t>
  </si>
  <si>
    <t>경기도 이천시 매곡리 977-5(택배수령담당자 :+827051546046)</t>
  </si>
  <si>
    <t>070-5154-6046</t>
  </si>
  <si>
    <t>상품명 조합</t>
  </si>
  <si>
    <t>상품코드 조합</t>
  </si>
  <si>
    <t>No</t>
  </si>
  <si>
    <t>거래처코드</t>
  </si>
  <si>
    <t>거래처명</t>
  </si>
  <si>
    <t>창고위치</t>
  </si>
  <si>
    <t>생산국가</t>
  </si>
  <si>
    <t>TAG가</t>
  </si>
  <si>
    <t>현재가</t>
  </si>
  <si>
    <t>사전원가</t>
  </si>
  <si>
    <t>평균원가</t>
  </si>
  <si>
    <t>디자이너</t>
  </si>
  <si>
    <t>컬라코드</t>
  </si>
  <si>
    <t>컬라명</t>
  </si>
  <si>
    <t>SKU ID</t>
  </si>
  <si>
    <t>요청</t>
  </si>
  <si>
    <t>발주가능상태</t>
  </si>
  <si>
    <t>담당 BM</t>
  </si>
  <si>
    <t>발주담당자</t>
  </si>
  <si>
    <t>길이 (mm)</t>
  </si>
  <si>
    <t>넓이 (mm)</t>
  </si>
  <si>
    <t>높이 (mm)</t>
  </si>
  <si>
    <t>최소구매수량 (MOQ)</t>
  </si>
  <si>
    <t>중량 (g)</t>
  </si>
  <si>
    <t>Box 바코드</t>
  </si>
  <si>
    <t>Inner Case 내 SKU 수량</t>
  </si>
  <si>
    <t>Box 내 총수량</t>
  </si>
  <si>
    <t>Pallet 1단의 SKU 수량</t>
  </si>
  <si>
    <t>Pallet 내 SKU 수량</t>
  </si>
  <si>
    <t>발주번호</t>
  </si>
  <si>
    <t>발주유형</t>
  </si>
  <si>
    <t>발주현황</t>
  </si>
  <si>
    <t>SKU 이름</t>
  </si>
  <si>
    <t>SKU Barcode</t>
  </si>
  <si>
    <t>물류센터</t>
  </si>
  <si>
    <t>입고예정일</t>
  </si>
  <si>
    <t>발주일</t>
  </si>
  <si>
    <t>발주수량</t>
  </si>
  <si>
    <t>확정수량</t>
  </si>
  <si>
    <t>입고수량</t>
  </si>
  <si>
    <t>매입유형</t>
  </si>
  <si>
    <t>면세여부</t>
  </si>
  <si>
    <t>생산연도</t>
  </si>
  <si>
    <t>제조일자</t>
  </si>
  <si>
    <t>유통(소비)기한</t>
  </si>
  <si>
    <t>매입가</t>
  </si>
  <si>
    <t>공급가</t>
  </si>
  <si>
    <t>부가세</t>
  </si>
  <si>
    <t>총발주 매입금</t>
  </si>
  <si>
    <t>입고금액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</si>
</sst>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_);[Red](0)"/>
    <numFmt numFmtId="165" formatCode="#"/>
    <numFmt numFmtId="166" formatCode="m&quot;월&quot; d&quot;일&quot;;@"/>
    <numFmt numFmtId="167" formatCode="0_ "/>
    <numFmt numFmtId="168" formatCode="_-* #,##0_-;-* #,##0_-;_-* &quot;-&quot;_-;_-@_-"/>
  </numFmts>
  <fonts count="18" x14ac:knownFonts="1">
    <font>
      <color theme="1"/>
      <family val="2"/>
      <scheme val="minor"/>
      <sz val="11"/>
      <name val="Calibri"/>
    </font>
    <font>
      <color indexed="8"/>
      <family val="2"/>
      <scheme val="minor"/>
      <sz val="11"/>
      <name val="맑은 고딕"/>
    </font>
    <font>
      <b/>
      <charset val="129"/>
      <color rgb="FFFFFFFF"/>
      <family val="3"/>
      <sz val="10"/>
      <name val="맑은 고딕"/>
    </font>
    <font>
      <charset val="129"/>
      <color rgb="FF000000"/>
      <family val="3"/>
      <sz val="10"/>
      <name val="맑은 고딕"/>
    </font>
    <font>
      <charset val="129"/>
      <color indexed="8"/>
      <family val="3"/>
      <sz val="10"/>
      <name val="나눔고딕"/>
    </font>
    <font>
      <color indexed="8"/>
      <family val="2"/>
      <sz val="10"/>
      <name val="Arial"/>
    </font>
    <font>
      <color indexed="8"/>
      <family val="2"/>
      <scheme val="minor"/>
      <sz val="10"/>
      <name val="맑은 고딕"/>
    </font>
    <font>
      <color theme="0"/>
      <family val="2"/>
      <scheme val="minor"/>
      <sz val="11"/>
      <name val="맑은 고딕"/>
    </font>
    <font>
      <charset val="129"/>
      <color theme="0"/>
      <family val="3"/>
      <scheme val="minor"/>
      <sz val="11"/>
      <name val="맑은 고딕"/>
    </font>
    <font>
      <charset val="129"/>
      <color indexed="8"/>
      <family val="3"/>
      <sz val="10"/>
      <name val="맑은 고딕"/>
    </font>
    <font>
      <b/>
      <charset val="129"/>
      <color theme="0"/>
      <family val="3"/>
      <sz val="10"/>
      <name val="맑은 고딕"/>
    </font>
    <font>
      <charset val="129"/>
      <color theme="0"/>
      <family val="3"/>
      <scheme val="minor"/>
      <sz val="10"/>
      <name val="맑은 고딕"/>
    </font>
    <font>
      <charset val="129"/>
      <color indexed="8"/>
      <family val="3"/>
      <scheme val="major"/>
      <sz val="10"/>
      <name val="맑은 고딕"/>
    </font>
    <font>
      <charset val="129"/>
      <color rgb="FF4C4C4C"/>
      <family val="3"/>
      <scheme val="minor"/>
      <sz val="10"/>
      <name val="맑은 고딕"/>
    </font>
    <font>
      <color rgb="FFFFFFFF"/>
      <family val="2"/>
      <sz val="9"/>
      <name val="Arial"/>
    </font>
    <font>
      <color rgb="FFFFFFFF"/>
      <family val="2"/>
      <sz val="9"/>
      <name val="Nanum Gothic"/>
    </font>
    <font>
      <charset val="129"/>
      <color indexed="8"/>
      <family val="3"/>
      <sz val="12"/>
      <name val="나눔고딕"/>
    </font>
    <font>
      <charset val="129"/>
      <color theme="1"/>
      <family val="3"/>
      <scheme val="major"/>
      <sz val="10"/>
      <name val="맑은 고딕"/>
    </font>
  </fonts>
  <fills count="15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9933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1" tint="0.249977111117893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13"/>
      </patternFill>
    </fill>
    <fill>
      <patternFill patternType="solid">
        <fgColor rgb="FFFFFFFF"/>
        <bgColor indexed="64"/>
      </patternFill>
    </fill>
    <fill>
      <patternFill patternType="solid">
        <fgColor rgb="FF434343"/>
        <bgColor indexed="64"/>
      </patternFill>
    </fill>
    <fill>
      <patternFill patternType="solid">
        <fgColor indexed="22"/>
      </patternFill>
    </fill>
    <fill>
      <patternFill patternType="solid">
        <fgColor theme="8" tint="0.5999938962981048"/>
        <bgColor indexed="64"/>
      </patternFill>
    </fill>
  </fills>
  <borders count="1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thin"/>
      <top style="thin"/>
      <bottom style="hair"/>
      <diagonal/>
    </border>
    <border>
      <left style="thin"/>
      <right style="hair"/>
      <top style="hair"/>
      <bottom style="hair"/>
      <diagonal/>
    </border>
    <border>
      <left style="hair"/>
      <right style="hair"/>
      <top style="hair"/>
      <bottom style="hair"/>
      <diagonal/>
    </border>
    <border>
      <left style="hair"/>
      <right style="thin"/>
      <top style="hair"/>
      <bottom style="hair"/>
      <diagonal/>
    </border>
    <border>
      <left style="thin"/>
      <right/>
      <top style="hair"/>
      <bottom style="thin"/>
      <diagonal/>
    </border>
    <border>
      <left/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thin"/>
      <top style="hair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 style="medium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7D9DC"/>
      </left>
      <right style="medium">
        <color rgb="FFD7D9DC"/>
      </right>
      <top style="medium">
        <color rgb="FFD7D9DC"/>
      </top>
      <bottom style="medium">
        <color rgb="FFD7D9D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/>
    </xf>
    <xf numFmtId="0" fontId="1" fillId="2" borderId="0" xfId="0" applyFont="1" applyFill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165" fontId="1" fillId="7" borderId="6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1" fontId="8" fillId="6" borderId="10" xfId="0" applyNumberFormat="1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166" fontId="9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7" fontId="9" fillId="0" borderId="0" xfId="0" applyNumberFormat="1" applyFont="1" applyAlignment="1">
      <alignment horizontal="center" vertical="center"/>
    </xf>
    <xf numFmtId="166" fontId="10" fillId="8" borderId="12" xfId="0" applyNumberFormat="1" applyFont="1" applyFill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 wrapText="1"/>
    </xf>
    <xf numFmtId="164" fontId="10" fillId="8" borderId="12" xfId="0" applyNumberFormat="1" applyFont="1" applyFill="1" applyBorder="1" applyAlignment="1">
      <alignment horizontal="center" vertical="center" wrapText="1"/>
    </xf>
    <xf numFmtId="167" fontId="9" fillId="0" borderId="12" xfId="0" applyNumberFormat="1" applyFont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 vertical="center" wrapText="1"/>
    </xf>
    <xf numFmtId="164" fontId="9" fillId="0" borderId="13" xfId="0" applyNumberFormat="1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7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164" fontId="9" fillId="9" borderId="1" xfId="0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3" fillId="0" borderId="15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13" fillId="11" borderId="16" xfId="0" applyFont="1" applyFill="1" applyBorder="1" applyAlignment="1">
      <alignment vertical="center" wrapText="1"/>
    </xf>
    <xf numFmtId="0" fontId="13" fillId="0" borderId="0" xfId="0" applyFont="1" applyAlignment="1">
      <alignment vertical="center"/>
    </xf>
    <xf numFmtId="0" fontId="14" fillId="12" borderId="17" xfId="0" applyFont="1" applyFill="1" applyBorder="1" applyAlignment="1">
      <alignment horizontal="center" wrapText="1"/>
    </xf>
    <xf numFmtId="0" fontId="15" fillId="12" borderId="17" xfId="0" applyFont="1" applyFill="1" applyBorder="1" applyAlignment="1">
      <alignment horizontal="center" wrapText="1"/>
    </xf>
    <xf numFmtId="49" fontId="16" fillId="0" borderId="0" xfId="0" applyNumberFormat="1" applyFont="1" applyAlignment="1" applyProtection="1">
      <alignment horizontal="left" vertical="center" wrapText="1"/>
      <protection locked="0"/>
    </xf>
    <xf numFmtId="0" fontId="16" fillId="13" borderId="1" xfId="0" applyFont="1" applyFill="1" applyBorder="1" applyAlignment="1">
      <alignment horizontal="left" vertical="center"/>
    </xf>
    <xf numFmtId="0" fontId="1" fillId="14" borderId="0" xfId="0" applyFont="1" applyFill="1" applyAlignment="1">
      <alignment vertical="center"/>
    </xf>
    <xf numFmtId="0" fontId="17" fillId="0" borderId="1" xfId="0" applyFont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64" fontId="17" fillId="9" borderId="1" xfId="0" applyNumberFormat="1" applyFont="1" applyFill="1" applyBorder="1" applyAlignment="1">
      <alignment horizontal="center" vertical="center" wrapText="1"/>
    </xf>
    <xf numFmtId="168" fontId="17" fillId="9" borderId="1" xfId="0" applyNumberFormat="1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9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255"/>
  <sheetViews>
    <sheetView workbookViewId="0" showGridLines="0" zoomScale="100" zoomScaleNormal="100">
      <pane ySplit="1" topLeftCell="A2" activePane="bottomLeft" state="frozen"/>
      <selection pane="bottomLeft" activeCell="B1" sqref="B1"/>
    </sheetView>
  </sheetViews>
  <sheetFormatPr defaultRowHeight="16.5" outlineLevelRow="0" outlineLevelCol="0" x14ac:dyDescent="0" customHeight="1"/>
  <cols>
    <col min="1" max="1" width="4.375" customWidth="1"/>
    <col min="2" max="2" width="73.375" customWidth="1"/>
    <col min="3" max="3" width="5.25" customWidth="1"/>
    <col min="4" max="4" width="15" customWidth="1"/>
    <col min="5" max="5" width="15.875" customWidth="1"/>
    <col min="6" max="6" width="5.25" customWidth="1"/>
  </cols>
  <sheetData>
    <row r="1" spans="1:6" x14ac:dyDescent="0.25">
      <c r="A1" s="20" t="s">
        <v>35</v>
      </c>
      <c r="B1" s="21" t="s">
        <v>11</v>
      </c>
      <c r="C1" s="21" t="s">
        <v>12</v>
      </c>
      <c r="D1" s="21" t="s">
        <v>15</v>
      </c>
      <c r="E1" s="21" t="s">
        <v>36</v>
      </c>
      <c r="F1" s="22" t="s">
        <v>37</v>
      </c>
    </row>
    <row r="2" spans="1:6" x14ac:dyDescent="0.25">
      <c r="A2" s="23">
        <v>1</v>
      </c>
      <c r="B2" s="24" t="str">
        <f>IFERROR(발주서!L2, " ")</f>
        <v>  </v>
      </c>
      <c r="C2" s="24">
        <f>IFERROR(발주서!M2," ")</f>
        <v>0</v>
      </c>
      <c r="D2" s="24" t="str">
        <f>발주서!P2</f>
        <v> </v>
      </c>
      <c r="E2" s="25"/>
      <c r="F2" s="26"/>
    </row>
    <row r="3" spans="1:6" x14ac:dyDescent="0.25">
      <c r="A3" s="23">
        <v>2</v>
      </c>
      <c r="B3" s="24" t="str">
        <f>IFERROR(발주서!L3, " ")</f>
        <v>  </v>
      </c>
      <c r="C3" s="24">
        <f>IFERROR(발주서!M3," ")</f>
        <v>0</v>
      </c>
      <c r="D3" s="24" t="str">
        <f>발주서!P3</f>
        <v> </v>
      </c>
      <c r="E3" s="25"/>
      <c r="F3" s="26"/>
    </row>
    <row r="4" spans="1:6" x14ac:dyDescent="0.25">
      <c r="A4" s="23">
        <v>3</v>
      </c>
      <c r="B4" s="24" t="str">
        <f>IFERROR(발주서!L4, " ")</f>
        <v>  </v>
      </c>
      <c r="C4" s="24">
        <f>IFERROR(발주서!M4," ")</f>
        <v>0</v>
      </c>
      <c r="D4" s="24" t="str">
        <f>발주서!P4</f>
        <v> </v>
      </c>
      <c r="E4" s="25"/>
      <c r="F4" s="26"/>
    </row>
    <row r="5" spans="1:6" x14ac:dyDescent="0.25">
      <c r="A5" s="23">
        <v>4</v>
      </c>
      <c r="B5" s="24" t="str">
        <f>IFERROR(발주서!L5, " ")</f>
        <v>  </v>
      </c>
      <c r="C5" s="24">
        <f>IFERROR(발주서!M5," ")</f>
        <v>0</v>
      </c>
      <c r="D5" s="24" t="str">
        <f>발주서!P5</f>
        <v> </v>
      </c>
      <c r="E5" s="25"/>
      <c r="F5" s="26"/>
    </row>
    <row r="6" spans="1:6" x14ac:dyDescent="0.25">
      <c r="A6" s="23">
        <v>5</v>
      </c>
      <c r="B6" s="24" t="str">
        <f>IFERROR(발주서!L6, " ")</f>
        <v>  </v>
      </c>
      <c r="C6" s="24">
        <f>IFERROR(발주서!M6," ")</f>
        <v>0</v>
      </c>
      <c r="D6" s="24" t="str">
        <f>발주서!P6</f>
        <v> </v>
      </c>
      <c r="E6" s="25"/>
      <c r="F6" s="26"/>
    </row>
    <row r="7" spans="1:6" x14ac:dyDescent="0.25">
      <c r="A7" s="23">
        <v>6</v>
      </c>
      <c r="B7" s="24" t="str">
        <f>IFERROR(발주서!L7, " ")</f>
        <v>  </v>
      </c>
      <c r="C7" s="24">
        <f>IFERROR(발주서!M7," ")</f>
        <v>0</v>
      </c>
      <c r="D7" s="24" t="str">
        <f>발주서!P7</f>
        <v> </v>
      </c>
      <c r="E7" s="25"/>
      <c r="F7" s="26"/>
    </row>
    <row r="8" spans="1:6" x14ac:dyDescent="0.25">
      <c r="A8" s="23">
        <v>7</v>
      </c>
      <c r="B8" s="24" t="str">
        <f>IFERROR(발주서!L8, " ")</f>
        <v>  </v>
      </c>
      <c r="C8" s="24">
        <f>IFERROR(발주서!M8," ")</f>
        <v>0</v>
      </c>
      <c r="D8" s="24" t="str">
        <f>발주서!P8</f>
        <v> </v>
      </c>
      <c r="E8" s="25"/>
      <c r="F8" s="26"/>
    </row>
    <row r="9" spans="1:6" x14ac:dyDescent="0.25">
      <c r="A9" s="23">
        <v>8</v>
      </c>
      <c r="B9" s="24" t="str">
        <f>IFERROR(발주서!L9, " ")</f>
        <v>  </v>
      </c>
      <c r="C9" s="24">
        <f>IFERROR(발주서!M9," ")</f>
        <v>0</v>
      </c>
      <c r="D9" s="24" t="str">
        <f>발주서!P9</f>
        <v> </v>
      </c>
      <c r="E9" s="25"/>
      <c r="F9" s="26"/>
    </row>
    <row r="10" spans="1:6" x14ac:dyDescent="0.25">
      <c r="A10" s="23">
        <v>9</v>
      </c>
      <c r="B10" s="24" t="str">
        <f>IFERROR(발주서!L10, " ")</f>
        <v>  </v>
      </c>
      <c r="C10" s="24">
        <f>IFERROR(발주서!M10," ")</f>
        <v>0</v>
      </c>
      <c r="D10" s="24" t="str">
        <f>발주서!P10</f>
        <v> </v>
      </c>
      <c r="E10" s="25"/>
      <c r="F10" s="26"/>
    </row>
    <row r="11" spans="1:6" x14ac:dyDescent="0.25">
      <c r="A11" s="23">
        <v>10</v>
      </c>
      <c r="B11" s="24" t="str">
        <f>IFERROR(발주서!L11, " ")</f>
        <v>  </v>
      </c>
      <c r="C11" s="24">
        <f>IFERROR(발주서!M11," ")</f>
        <v>0</v>
      </c>
      <c r="D11" s="24" t="str">
        <f>발주서!P11</f>
        <v> </v>
      </c>
      <c r="E11" s="25"/>
      <c r="F11" s="26"/>
    </row>
    <row r="12" spans="1:6" x14ac:dyDescent="0.25">
      <c r="A12" s="23">
        <v>11</v>
      </c>
      <c r="B12" s="24" t="str">
        <f>IFERROR(발주서!L12, " ")</f>
        <v>  </v>
      </c>
      <c r="C12" s="24">
        <f>IFERROR(발주서!M12," ")</f>
        <v>0</v>
      </c>
      <c r="D12" s="24" t="str">
        <f>발주서!P12</f>
        <v> </v>
      </c>
      <c r="E12" s="25"/>
      <c r="F12" s="26"/>
    </row>
    <row r="13" spans="1:6" x14ac:dyDescent="0.25">
      <c r="A13" s="23">
        <v>12</v>
      </c>
      <c r="B13" s="24" t="str">
        <f>IFERROR(발주서!L13, " ")</f>
        <v>  </v>
      </c>
      <c r="C13" s="24">
        <f>IFERROR(발주서!M13," ")</f>
        <v>0</v>
      </c>
      <c r="D13" s="24" t="str">
        <f>발주서!P13</f>
        <v> </v>
      </c>
      <c r="E13" s="25"/>
      <c r="F13" s="26"/>
    </row>
    <row r="14" spans="1:6" x14ac:dyDescent="0.25">
      <c r="A14" s="23">
        <v>13</v>
      </c>
      <c r="B14" s="24" t="str">
        <f>IFERROR(발주서!L14, " ")</f>
        <v>  </v>
      </c>
      <c r="C14" s="24">
        <f>IFERROR(발주서!M14," ")</f>
        <v>0</v>
      </c>
      <c r="D14" s="24" t="str">
        <f>발주서!P14</f>
        <v> </v>
      </c>
      <c r="E14" s="25"/>
      <c r="F14" s="26"/>
    </row>
    <row r="15" spans="1:6" x14ac:dyDescent="0.25">
      <c r="A15" s="23">
        <v>14</v>
      </c>
      <c r="B15" s="24" t="str">
        <f>IFERROR(발주서!L15, " ")</f>
        <v>  </v>
      </c>
      <c r="C15" s="24">
        <f>IFERROR(발주서!M15," ")</f>
        <v>0</v>
      </c>
      <c r="D15" s="24" t="str">
        <f>발주서!P15</f>
        <v> </v>
      </c>
      <c r="E15" s="25"/>
      <c r="F15" s="26"/>
    </row>
    <row r="16" spans="1:6" x14ac:dyDescent="0.25">
      <c r="A16" s="23">
        <v>15</v>
      </c>
      <c r="B16" s="24" t="str">
        <f>IFERROR(발주서!L16, " ")</f>
        <v>  </v>
      </c>
      <c r="C16" s="24">
        <f>IFERROR(발주서!M16," ")</f>
        <v>0</v>
      </c>
      <c r="D16" s="24" t="str">
        <f>발주서!P16</f>
        <v> </v>
      </c>
      <c r="E16" s="25"/>
      <c r="F16" s="26"/>
    </row>
    <row r="17" spans="1:6" x14ac:dyDescent="0.25">
      <c r="A17" s="23">
        <v>16</v>
      </c>
      <c r="B17" s="24" t="str">
        <f>IFERROR(발주서!L17, " ")</f>
        <v>  </v>
      </c>
      <c r="C17" s="24">
        <f>IFERROR(발주서!M17," ")</f>
        <v>0</v>
      </c>
      <c r="D17" s="24" t="str">
        <f>발주서!P17</f>
        <v> </v>
      </c>
      <c r="E17" s="25"/>
      <c r="F17" s="26"/>
    </row>
    <row r="18" spans="1:6" x14ac:dyDescent="0.25">
      <c r="A18" s="23">
        <v>17</v>
      </c>
      <c r="B18" s="24" t="str">
        <f>IFERROR(발주서!L18, " ")</f>
        <v>  </v>
      </c>
      <c r="C18" s="24">
        <f>IFERROR(발주서!M18," ")</f>
        <v>0</v>
      </c>
      <c r="D18" s="24" t="str">
        <f>발주서!P18</f>
        <v> </v>
      </c>
      <c r="E18" s="25"/>
      <c r="F18" s="26"/>
    </row>
    <row r="19" spans="1:6" x14ac:dyDescent="0.25">
      <c r="A19" s="23">
        <v>18</v>
      </c>
      <c r="B19" s="24" t="str">
        <f>IFERROR(발주서!L19, " ")</f>
        <v>  </v>
      </c>
      <c r="C19" s="24">
        <f>IFERROR(발주서!M19," ")</f>
        <v>0</v>
      </c>
      <c r="D19" s="24" t="str">
        <f>발주서!P19</f>
        <v> </v>
      </c>
      <c r="E19" s="25"/>
      <c r="F19" s="26"/>
    </row>
    <row r="20" spans="1:6" x14ac:dyDescent="0.25">
      <c r="A20" s="23">
        <v>19</v>
      </c>
      <c r="B20" s="24" t="str">
        <f>IFERROR(발주서!L20, " ")</f>
        <v>  </v>
      </c>
      <c r="C20" s="24">
        <f>IFERROR(발주서!M20," ")</f>
        <v>0</v>
      </c>
      <c r="D20" s="24" t="str">
        <f>발주서!P20</f>
        <v> </v>
      </c>
      <c r="E20" s="25"/>
      <c r="F20" s="26"/>
    </row>
    <row r="21" spans="1:6" x14ac:dyDescent="0.25">
      <c r="A21" s="23">
        <v>20</v>
      </c>
      <c r="B21" s="24" t="str">
        <f>IFERROR(발주서!L21, " ")</f>
        <v>  </v>
      </c>
      <c r="C21" s="24">
        <f>IFERROR(발주서!M21," ")</f>
        <v>0</v>
      </c>
      <c r="D21" s="24" t="str">
        <f>발주서!P21</f>
        <v> </v>
      </c>
      <c r="E21" s="25"/>
      <c r="F21" s="26"/>
    </row>
    <row r="22" spans="1:6" x14ac:dyDescent="0.25">
      <c r="A22" s="23">
        <v>21</v>
      </c>
      <c r="B22" s="24" t="str">
        <f>IFERROR(발주서!L22, " ")</f>
        <v>  </v>
      </c>
      <c r="C22" s="24">
        <f>IFERROR(발주서!M22," ")</f>
        <v>0</v>
      </c>
      <c r="D22" s="24" t="str">
        <f>발주서!P22</f>
        <v> </v>
      </c>
      <c r="E22" s="25"/>
      <c r="F22" s="26"/>
    </row>
    <row r="23" spans="1:6" x14ac:dyDescent="0.25">
      <c r="A23" s="23">
        <v>22</v>
      </c>
      <c r="B23" s="24" t="str">
        <f>IFERROR(발주서!L23, " ")</f>
        <v>  </v>
      </c>
      <c r="C23" s="24">
        <f>IFERROR(발주서!M23," ")</f>
        <v>0</v>
      </c>
      <c r="D23" s="24" t="str">
        <f>발주서!P23</f>
        <v> </v>
      </c>
      <c r="E23" s="25"/>
      <c r="F23" s="26"/>
    </row>
    <row r="24" spans="1:6" x14ac:dyDescent="0.25">
      <c r="A24" s="23">
        <v>23</v>
      </c>
      <c r="B24" s="24" t="str">
        <f>IFERROR(발주서!L24, " ")</f>
        <v>  </v>
      </c>
      <c r="C24" s="24">
        <f>IFERROR(발주서!M24," ")</f>
        <v>0</v>
      </c>
      <c r="D24" s="24" t="str">
        <f>발주서!P24</f>
        <v> </v>
      </c>
      <c r="E24" s="25"/>
      <c r="F24" s="26"/>
    </row>
    <row r="25" spans="1:6" x14ac:dyDescent="0.25">
      <c r="A25" s="23">
        <v>24</v>
      </c>
      <c r="B25" s="24" t="str">
        <f>IFERROR(발주서!L25, " ")</f>
        <v>  </v>
      </c>
      <c r="C25" s="24">
        <f>IFERROR(발주서!M25," ")</f>
        <v>0</v>
      </c>
      <c r="D25" s="24" t="str">
        <f>발주서!P25</f>
        <v> </v>
      </c>
      <c r="E25" s="25"/>
      <c r="F25" s="26"/>
    </row>
    <row r="26" spans="1:6" x14ac:dyDescent="0.25">
      <c r="A26" s="23">
        <v>25</v>
      </c>
      <c r="B26" s="24" t="str">
        <f>IFERROR(발주서!L26, " ")</f>
        <v>  </v>
      </c>
      <c r="C26" s="24">
        <f>IFERROR(발주서!M26," ")</f>
        <v>0</v>
      </c>
      <c r="D26" s="24" t="str">
        <f>발주서!P26</f>
        <v> </v>
      </c>
      <c r="E26" s="25"/>
      <c r="F26" s="26"/>
    </row>
    <row r="27" spans="1:6" x14ac:dyDescent="0.25">
      <c r="A27" s="23">
        <v>26</v>
      </c>
      <c r="B27" s="24" t="str">
        <f>IFERROR(발주서!L27, " ")</f>
        <v>  </v>
      </c>
      <c r="C27" s="24">
        <f>IFERROR(발주서!M27," ")</f>
        <v>0</v>
      </c>
      <c r="D27" s="24" t="str">
        <f>발주서!P27</f>
        <v> </v>
      </c>
      <c r="E27" s="25"/>
      <c r="F27" s="26"/>
    </row>
    <row r="28" spans="1:6" x14ac:dyDescent="0.25">
      <c r="A28" s="23">
        <v>27</v>
      </c>
      <c r="B28" s="24" t="str">
        <f>IFERROR(발주서!L28, " ")</f>
        <v>  </v>
      </c>
      <c r="C28" s="24">
        <f>IFERROR(발주서!M28," ")</f>
        <v>0</v>
      </c>
      <c r="D28" s="24" t="str">
        <f>발주서!P28</f>
        <v> </v>
      </c>
      <c r="E28" s="25"/>
      <c r="F28" s="26"/>
    </row>
    <row r="29" spans="1:6" x14ac:dyDescent="0.25">
      <c r="A29" s="23">
        <v>28</v>
      </c>
      <c r="B29" s="24" t="str">
        <f>IFERROR(발주서!L29, " ")</f>
        <v>  </v>
      </c>
      <c r="C29" s="24">
        <f>IFERROR(발주서!M29," ")</f>
        <v>0</v>
      </c>
      <c r="D29" s="24" t="str">
        <f>발주서!P29</f>
        <v> </v>
      </c>
      <c r="E29" s="25"/>
      <c r="F29" s="26"/>
    </row>
    <row r="30" spans="1:6" x14ac:dyDescent="0.25">
      <c r="A30" s="23">
        <v>29</v>
      </c>
      <c r="B30" s="24" t="str">
        <f>IFERROR(발주서!L30, " ")</f>
        <v>  </v>
      </c>
      <c r="C30" s="24">
        <f>IFERROR(발주서!M30," ")</f>
        <v>0</v>
      </c>
      <c r="D30" s="24" t="str">
        <f>발주서!P30</f>
        <v> </v>
      </c>
      <c r="E30" s="25"/>
      <c r="F30" s="26"/>
    </row>
    <row r="31" spans="1:6" x14ac:dyDescent="0.25">
      <c r="A31" s="23">
        <v>30</v>
      </c>
      <c r="B31" s="24" t="str">
        <f>IFERROR(발주서!L31, " ")</f>
        <v>  </v>
      </c>
      <c r="C31" s="24">
        <f>IFERROR(발주서!M31," ")</f>
        <v>0</v>
      </c>
      <c r="D31" s="24" t="str">
        <f>발주서!P31</f>
        <v> </v>
      </c>
      <c r="E31" s="25"/>
      <c r="F31" s="26"/>
    </row>
    <row r="32" spans="1:6" x14ac:dyDescent="0.25">
      <c r="A32" s="23">
        <v>31</v>
      </c>
      <c r="B32" s="24" t="str">
        <f>IFERROR(발주서!L32, " ")</f>
        <v>  </v>
      </c>
      <c r="C32" s="24">
        <f>IFERROR(발주서!M32," ")</f>
        <v>0</v>
      </c>
      <c r="D32" s="24" t="str">
        <f>발주서!P32</f>
        <v> </v>
      </c>
      <c r="E32" s="25"/>
      <c r="F32" s="26"/>
    </row>
    <row r="33" spans="1:6" x14ac:dyDescent="0.25">
      <c r="A33" s="23">
        <v>32</v>
      </c>
      <c r="B33" s="24" t="str">
        <f>IFERROR(발주서!L33, " ")</f>
        <v>  </v>
      </c>
      <c r="C33" s="24">
        <f>IFERROR(발주서!M33," ")</f>
        <v>0</v>
      </c>
      <c r="D33" s="24" t="str">
        <f>발주서!P33</f>
        <v> </v>
      </c>
      <c r="E33" s="25"/>
      <c r="F33" s="26"/>
    </row>
    <row r="34" spans="1:6" x14ac:dyDescent="0.25">
      <c r="A34" s="23">
        <v>33</v>
      </c>
      <c r="B34" s="24" t="str">
        <f>IFERROR(발주서!L34, " ")</f>
        <v>  </v>
      </c>
      <c r="C34" s="24">
        <f>IFERROR(발주서!M34," ")</f>
        <v>0</v>
      </c>
      <c r="D34" s="24" t="str">
        <f>발주서!P34</f>
        <v> </v>
      </c>
      <c r="E34" s="25"/>
      <c r="F34" s="26"/>
    </row>
    <row r="35" spans="1:6" x14ac:dyDescent="0.25">
      <c r="A35" s="23">
        <v>34</v>
      </c>
      <c r="B35" s="24" t="str">
        <f>IFERROR(발주서!L35, " ")</f>
        <v>  </v>
      </c>
      <c r="C35" s="24">
        <f>IFERROR(발주서!M35," ")</f>
        <v>0</v>
      </c>
      <c r="D35" s="24" t="str">
        <f>발주서!P35</f>
        <v> </v>
      </c>
      <c r="E35" s="25"/>
      <c r="F35" s="26"/>
    </row>
    <row r="36" spans="1:6" x14ac:dyDescent="0.25">
      <c r="A36" s="23">
        <v>35</v>
      </c>
      <c r="B36" s="24" t="str">
        <f>IFERROR(발주서!L36, " ")</f>
        <v>  </v>
      </c>
      <c r="C36" s="24">
        <f>IFERROR(발주서!M36," ")</f>
        <v>0</v>
      </c>
      <c r="D36" s="24" t="str">
        <f>발주서!P36</f>
        <v> </v>
      </c>
      <c r="E36" s="25"/>
      <c r="F36" s="26"/>
    </row>
    <row r="37" spans="1:6" x14ac:dyDescent="0.25">
      <c r="A37" s="23">
        <v>36</v>
      </c>
      <c r="B37" s="24" t="str">
        <f>IFERROR(발주서!L37, " ")</f>
        <v>  </v>
      </c>
      <c r="C37" s="24">
        <f>IFERROR(발주서!M37," ")</f>
        <v>0</v>
      </c>
      <c r="D37" s="24" t="str">
        <f>발주서!P37</f>
        <v> </v>
      </c>
      <c r="E37" s="25"/>
      <c r="F37" s="26"/>
    </row>
    <row r="38" spans="1:6" x14ac:dyDescent="0.25">
      <c r="A38" s="23">
        <v>37</v>
      </c>
      <c r="B38" s="24" t="str">
        <f>IFERROR(발주서!L38, " ")</f>
        <v>  </v>
      </c>
      <c r="C38" s="24">
        <f>IFERROR(발주서!M38," ")</f>
        <v>0</v>
      </c>
      <c r="D38" s="24" t="str">
        <f>발주서!P38</f>
        <v> </v>
      </c>
      <c r="E38" s="25"/>
      <c r="F38" s="26"/>
    </row>
    <row r="39" spans="1:6" x14ac:dyDescent="0.25">
      <c r="A39" s="23">
        <v>38</v>
      </c>
      <c r="B39" s="24" t="str">
        <f>IFERROR(발주서!L39, " ")</f>
        <v>  </v>
      </c>
      <c r="C39" s="24">
        <f>IFERROR(발주서!M39," ")</f>
        <v>0</v>
      </c>
      <c r="D39" s="24" t="str">
        <f>발주서!P39</f>
        <v> </v>
      </c>
      <c r="E39" s="25"/>
      <c r="F39" s="26"/>
    </row>
    <row r="40" spans="1:6" x14ac:dyDescent="0.25">
      <c r="A40" s="23">
        <v>39</v>
      </c>
      <c r="B40" s="24" t="str">
        <f>IFERROR(발주서!L40, " ")</f>
        <v>  </v>
      </c>
      <c r="C40" s="24">
        <f>IFERROR(발주서!M40," ")</f>
        <v>0</v>
      </c>
      <c r="D40" s="24" t="str">
        <f>발주서!P40</f>
        <v> </v>
      </c>
      <c r="E40" s="25"/>
      <c r="F40" s="26"/>
    </row>
    <row r="41" spans="1:6" x14ac:dyDescent="0.25">
      <c r="A41" s="23">
        <v>40</v>
      </c>
      <c r="B41" s="24" t="str">
        <f>IFERROR(발주서!L41, " ")</f>
        <v>  </v>
      </c>
      <c r="C41" s="24">
        <f>IFERROR(발주서!M41," ")</f>
        <v>0</v>
      </c>
      <c r="D41" s="24" t="str">
        <f>발주서!P41</f>
        <v> </v>
      </c>
      <c r="E41" s="25"/>
      <c r="F41" s="26"/>
    </row>
    <row r="42" spans="1:6" x14ac:dyDescent="0.25">
      <c r="A42" s="23">
        <v>41</v>
      </c>
      <c r="B42" s="24" t="str">
        <f>IFERROR(발주서!L42, " ")</f>
        <v>  </v>
      </c>
      <c r="C42" s="24">
        <f>IFERROR(발주서!M42," ")</f>
        <v>0</v>
      </c>
      <c r="D42" s="24" t="str">
        <f>발주서!P42</f>
        <v> </v>
      </c>
      <c r="E42" s="25"/>
      <c r="F42" s="26"/>
    </row>
    <row r="43" spans="1:6" x14ac:dyDescent="0.25">
      <c r="A43" s="23">
        <v>42</v>
      </c>
      <c r="B43" s="24" t="str">
        <f>IFERROR(발주서!L43, " ")</f>
        <v>  </v>
      </c>
      <c r="C43" s="24">
        <f>IFERROR(발주서!M43," ")</f>
        <v>0</v>
      </c>
      <c r="D43" s="24" t="str">
        <f>발주서!P43</f>
        <v> </v>
      </c>
      <c r="E43" s="25"/>
      <c r="F43" s="26"/>
    </row>
    <row r="44" spans="1:6" x14ac:dyDescent="0.25">
      <c r="A44" s="23">
        <v>43</v>
      </c>
      <c r="B44" s="24" t="str">
        <f>IFERROR(발주서!L44, " ")</f>
        <v>  </v>
      </c>
      <c r="C44" s="24">
        <f>IFERROR(발주서!M44," ")</f>
        <v>0</v>
      </c>
      <c r="D44" s="24" t="str">
        <f>발주서!P44</f>
        <v> </v>
      </c>
      <c r="E44" s="25"/>
      <c r="F44" s="26"/>
    </row>
    <row r="45" spans="1:6" x14ac:dyDescent="0.25">
      <c r="A45" s="23">
        <v>44</v>
      </c>
      <c r="B45" s="24" t="str">
        <f>IFERROR(발주서!L45, " ")</f>
        <v>  </v>
      </c>
      <c r="C45" s="24">
        <f>IFERROR(발주서!M45," ")</f>
        <v>0</v>
      </c>
      <c r="D45" s="24" t="str">
        <f>발주서!P45</f>
        <v> </v>
      </c>
      <c r="E45" s="25"/>
      <c r="F45" s="26"/>
    </row>
    <row r="46" spans="1:6" x14ac:dyDescent="0.25">
      <c r="A46" s="23">
        <v>45</v>
      </c>
      <c r="B46" s="24" t="str">
        <f>IFERROR(발주서!L46, " ")</f>
        <v>  </v>
      </c>
      <c r="C46" s="24">
        <f>IFERROR(발주서!M46," ")</f>
        <v>0</v>
      </c>
      <c r="D46" s="24" t="str">
        <f>발주서!P46</f>
        <v> </v>
      </c>
      <c r="E46" s="25"/>
      <c r="F46" s="26"/>
    </row>
    <row r="47" spans="1:6" x14ac:dyDescent="0.25">
      <c r="A47" s="23">
        <v>46</v>
      </c>
      <c r="B47" s="24" t="str">
        <f>IFERROR(발주서!L47, " ")</f>
        <v>  </v>
      </c>
      <c r="C47" s="24">
        <f>IFERROR(발주서!M47," ")</f>
        <v>0</v>
      </c>
      <c r="D47" s="24" t="str">
        <f>발주서!P47</f>
        <v> </v>
      </c>
      <c r="E47" s="25"/>
      <c r="F47" s="26"/>
    </row>
    <row r="48" spans="1:6" x14ac:dyDescent="0.25">
      <c r="A48" s="23">
        <v>47</v>
      </c>
      <c r="B48" s="24" t="str">
        <f>IFERROR(발주서!L48, " ")</f>
        <v>  </v>
      </c>
      <c r="C48" s="24">
        <f>IFERROR(발주서!M48," ")</f>
        <v>0</v>
      </c>
      <c r="D48" s="24" t="str">
        <f>발주서!P48</f>
        <v> </v>
      </c>
      <c r="E48" s="25"/>
      <c r="F48" s="26"/>
    </row>
    <row r="49" spans="1:6" x14ac:dyDescent="0.25">
      <c r="A49" s="23">
        <v>48</v>
      </c>
      <c r="B49" s="24" t="str">
        <f>IFERROR(발주서!L49, " ")</f>
        <v>  </v>
      </c>
      <c r="C49" s="24">
        <f>IFERROR(발주서!M49," ")</f>
        <v>0</v>
      </c>
      <c r="D49" s="24" t="str">
        <f>발주서!P49</f>
        <v> </v>
      </c>
      <c r="E49" s="25"/>
      <c r="F49" s="26"/>
    </row>
    <row r="50" spans="1:6" x14ac:dyDescent="0.25">
      <c r="A50" s="23">
        <v>49</v>
      </c>
      <c r="B50" s="24" t="str">
        <f>IFERROR(발주서!L50, " ")</f>
        <v>  </v>
      </c>
      <c r="C50" s="24">
        <f>IFERROR(발주서!M50," ")</f>
        <v>0</v>
      </c>
      <c r="D50" s="24" t="str">
        <f>발주서!P50</f>
        <v> </v>
      </c>
      <c r="E50" s="25"/>
      <c r="F50" s="26"/>
    </row>
    <row r="51" spans="1:6" x14ac:dyDescent="0.25">
      <c r="A51" s="23">
        <v>50</v>
      </c>
      <c r="B51" s="24" t="str">
        <f>IFERROR(발주서!L51, " ")</f>
        <v>  </v>
      </c>
      <c r="C51" s="24">
        <f>IFERROR(발주서!M51," ")</f>
        <v>0</v>
      </c>
      <c r="D51" s="24" t="str">
        <f>발주서!P51</f>
        <v> </v>
      </c>
      <c r="E51" s="25"/>
      <c r="F51" s="26"/>
    </row>
    <row r="52" spans="1:6" x14ac:dyDescent="0.25">
      <c r="A52" s="23">
        <v>51</v>
      </c>
      <c r="B52" s="24" t="str">
        <f>IFERROR(발주서!L52, " ")</f>
        <v>  </v>
      </c>
      <c r="C52" s="24">
        <f>IFERROR(발주서!M52," ")</f>
        <v>0</v>
      </c>
      <c r="D52" s="24" t="str">
        <f>발주서!P52</f>
        <v> </v>
      </c>
      <c r="E52" s="25"/>
      <c r="F52" s="26"/>
    </row>
    <row r="53" spans="1:6" x14ac:dyDescent="0.25">
      <c r="A53" s="23">
        <v>52</v>
      </c>
      <c r="B53" s="24" t="str">
        <f>IFERROR(발주서!L53, " ")</f>
        <v>  </v>
      </c>
      <c r="C53" s="24">
        <f>IFERROR(발주서!M53," ")</f>
        <v>0</v>
      </c>
      <c r="D53" s="24" t="str">
        <f>발주서!P53</f>
        <v> </v>
      </c>
      <c r="E53" s="25"/>
      <c r="F53" s="26"/>
    </row>
    <row r="54" spans="1:6" x14ac:dyDescent="0.25">
      <c r="A54" s="23">
        <v>53</v>
      </c>
      <c r="B54" s="24" t="str">
        <f>IFERROR(발주서!L54, " ")</f>
        <v>  </v>
      </c>
      <c r="C54" s="24">
        <f>IFERROR(발주서!M54," ")</f>
        <v>0</v>
      </c>
      <c r="D54" s="24" t="str">
        <f>발주서!P54</f>
        <v> </v>
      </c>
      <c r="E54" s="25"/>
      <c r="F54" s="26"/>
    </row>
    <row r="55" spans="1:6" x14ac:dyDescent="0.25">
      <c r="A55" s="23">
        <v>54</v>
      </c>
      <c r="B55" s="24" t="str">
        <f>IFERROR(발주서!L55, " ")</f>
        <v>  </v>
      </c>
      <c r="C55" s="24">
        <f>IFERROR(발주서!M55," ")</f>
        <v>0</v>
      </c>
      <c r="D55" s="24" t="str">
        <f>발주서!P55</f>
        <v> </v>
      </c>
      <c r="E55" s="25"/>
      <c r="F55" s="26"/>
    </row>
    <row r="56" spans="1:6" x14ac:dyDescent="0.25">
      <c r="A56" s="23">
        <v>55</v>
      </c>
      <c r="B56" s="24" t="str">
        <f>IFERROR(발주서!L56, " ")</f>
        <v>  </v>
      </c>
      <c r="C56" s="24">
        <f>IFERROR(발주서!M56," ")</f>
        <v>0</v>
      </c>
      <c r="D56" s="24" t="str">
        <f>발주서!P56</f>
        <v> </v>
      </c>
      <c r="E56" s="25"/>
      <c r="F56" s="26"/>
    </row>
    <row r="57" spans="1:6" x14ac:dyDescent="0.25">
      <c r="A57" s="23">
        <v>56</v>
      </c>
      <c r="B57" s="24" t="str">
        <f>IFERROR(발주서!L57, " ")</f>
        <v>  </v>
      </c>
      <c r="C57" s="24">
        <f>IFERROR(발주서!M57," ")</f>
        <v>0</v>
      </c>
      <c r="D57" s="24" t="str">
        <f>발주서!P57</f>
        <v> </v>
      </c>
      <c r="E57" s="25"/>
      <c r="F57" s="26"/>
    </row>
    <row r="58" spans="1:6" x14ac:dyDescent="0.25">
      <c r="A58" s="23">
        <v>57</v>
      </c>
      <c r="B58" s="24" t="str">
        <f>IFERROR(발주서!L58, " ")</f>
        <v>  </v>
      </c>
      <c r="C58" s="24">
        <f>IFERROR(발주서!M58," ")</f>
        <v>0</v>
      </c>
      <c r="D58" s="24" t="str">
        <f>발주서!P58</f>
        <v> </v>
      </c>
      <c r="E58" s="25"/>
      <c r="F58" s="26"/>
    </row>
    <row r="59" spans="1:6" x14ac:dyDescent="0.25">
      <c r="A59" s="23">
        <v>58</v>
      </c>
      <c r="B59" s="24" t="str">
        <f>IFERROR(발주서!L59, " ")</f>
        <v>  </v>
      </c>
      <c r="C59" s="24">
        <f>IFERROR(발주서!M59," ")</f>
        <v>0</v>
      </c>
      <c r="D59" s="24" t="str">
        <f>발주서!P59</f>
        <v> </v>
      </c>
      <c r="E59" s="25"/>
      <c r="F59" s="26"/>
    </row>
    <row r="60" spans="1:6" x14ac:dyDescent="0.25">
      <c r="A60" s="23">
        <v>59</v>
      </c>
      <c r="B60" s="24" t="str">
        <f>IFERROR(발주서!L60, " ")</f>
        <v>  </v>
      </c>
      <c r="C60" s="24">
        <f>IFERROR(발주서!M60," ")</f>
        <v>0</v>
      </c>
      <c r="D60" s="24" t="str">
        <f>발주서!P60</f>
        <v> </v>
      </c>
      <c r="E60" s="25"/>
      <c r="F60" s="26"/>
    </row>
    <row r="61" spans="1:6" x14ac:dyDescent="0.25">
      <c r="A61" s="23">
        <v>60</v>
      </c>
      <c r="B61" s="24" t="str">
        <f>IFERROR(발주서!L61, " ")</f>
        <v>  </v>
      </c>
      <c r="C61" s="24">
        <f>IFERROR(발주서!M61," ")</f>
        <v>0</v>
      </c>
      <c r="D61" s="24" t="str">
        <f>발주서!P61</f>
        <v> </v>
      </c>
      <c r="E61" s="25"/>
      <c r="F61" s="26"/>
    </row>
    <row r="62" spans="1:6" x14ac:dyDescent="0.25">
      <c r="A62" s="23">
        <v>61</v>
      </c>
      <c r="B62" s="24" t="str">
        <f>IFERROR(발주서!L62, " ")</f>
        <v>  </v>
      </c>
      <c r="C62" s="24">
        <f>IFERROR(발주서!M62," ")</f>
        <v>0</v>
      </c>
      <c r="D62" s="24" t="str">
        <f>발주서!P62</f>
        <v> </v>
      </c>
      <c r="E62" s="25"/>
      <c r="F62" s="26"/>
    </row>
    <row r="63" spans="1:6" x14ac:dyDescent="0.25">
      <c r="A63" s="23">
        <v>62</v>
      </c>
      <c r="B63" s="24" t="str">
        <f>IFERROR(발주서!L63, " ")</f>
        <v>  </v>
      </c>
      <c r="C63" s="24">
        <f>IFERROR(발주서!M63," ")</f>
        <v>0</v>
      </c>
      <c r="D63" s="24" t="str">
        <f>발주서!P63</f>
        <v> </v>
      </c>
      <c r="E63" s="25"/>
      <c r="F63" s="26"/>
    </row>
    <row r="64" spans="1:6" x14ac:dyDescent="0.25">
      <c r="A64" s="23">
        <v>63</v>
      </c>
      <c r="B64" s="24" t="str">
        <f>IFERROR(발주서!L64, " ")</f>
        <v>  </v>
      </c>
      <c r="C64" s="24">
        <f>IFERROR(발주서!M64," ")</f>
        <v>0</v>
      </c>
      <c r="D64" s="24" t="str">
        <f>발주서!P64</f>
        <v> </v>
      </c>
      <c r="E64" s="25"/>
      <c r="F64" s="26"/>
    </row>
    <row r="65" spans="1:6" x14ac:dyDescent="0.25">
      <c r="A65" s="23">
        <v>64</v>
      </c>
      <c r="B65" s="24" t="str">
        <f>IFERROR(발주서!L65, " ")</f>
        <v>  </v>
      </c>
      <c r="C65" s="24">
        <f>IFERROR(발주서!M65," ")</f>
        <v>0</v>
      </c>
      <c r="D65" s="24" t="str">
        <f>발주서!P65</f>
        <v> </v>
      </c>
      <c r="E65" s="25"/>
      <c r="F65" s="26"/>
    </row>
    <row r="66" spans="1:6" x14ac:dyDescent="0.25">
      <c r="A66" s="23">
        <v>65</v>
      </c>
      <c r="B66" s="24" t="str">
        <f>IFERROR(발주서!L66, " ")</f>
        <v>  </v>
      </c>
      <c r="C66" s="24">
        <f>IFERROR(발주서!M66," ")</f>
        <v>0</v>
      </c>
      <c r="D66" s="24" t="str">
        <f>발주서!P66</f>
        <v> </v>
      </c>
      <c r="E66" s="25"/>
      <c r="F66" s="26"/>
    </row>
    <row r="67" spans="1:6" x14ac:dyDescent="0.25">
      <c r="A67" s="23">
        <v>66</v>
      </c>
      <c r="B67" s="24" t="str">
        <f>IFERROR(발주서!L67, " ")</f>
        <v>  </v>
      </c>
      <c r="C67" s="24">
        <f>IFERROR(발주서!M67," ")</f>
        <v>0</v>
      </c>
      <c r="D67" s="24" t="str">
        <f>발주서!P67</f>
        <v> </v>
      </c>
      <c r="E67" s="25"/>
      <c r="F67" s="26"/>
    </row>
    <row r="68" spans="1:6" x14ac:dyDescent="0.25">
      <c r="A68" s="23">
        <v>67</v>
      </c>
      <c r="B68" s="24" t="str">
        <f>IFERROR(발주서!L68, " ")</f>
        <v>  </v>
      </c>
      <c r="C68" s="24">
        <f>IFERROR(발주서!M68," ")</f>
        <v>0</v>
      </c>
      <c r="D68" s="24" t="str">
        <f>발주서!P68</f>
        <v> </v>
      </c>
      <c r="E68" s="25"/>
      <c r="F68" s="26"/>
    </row>
    <row r="69" spans="1:6" x14ac:dyDescent="0.25">
      <c r="A69" s="23">
        <v>68</v>
      </c>
      <c r="B69" s="24" t="str">
        <f>IFERROR(발주서!L69, " ")</f>
        <v>  </v>
      </c>
      <c r="C69" s="24">
        <f>IFERROR(발주서!M69," ")</f>
        <v>0</v>
      </c>
      <c r="D69" s="24" t="str">
        <f>발주서!P69</f>
        <v> </v>
      </c>
      <c r="E69" s="25"/>
      <c r="F69" s="26"/>
    </row>
    <row r="70" spans="1:6" x14ac:dyDescent="0.25">
      <c r="A70" s="23">
        <v>69</v>
      </c>
      <c r="B70" s="24" t="str">
        <f>IFERROR(발주서!L70, " ")</f>
        <v>  </v>
      </c>
      <c r="C70" s="24">
        <f>IFERROR(발주서!M70," ")</f>
        <v>0</v>
      </c>
      <c r="D70" s="24" t="str">
        <f>발주서!P70</f>
        <v> </v>
      </c>
      <c r="E70" s="25"/>
      <c r="F70" s="26"/>
    </row>
    <row r="71" spans="1:6" x14ac:dyDescent="0.25">
      <c r="A71" s="23">
        <v>70</v>
      </c>
      <c r="B71" s="24" t="str">
        <f>IFERROR(발주서!L71, " ")</f>
        <v>  </v>
      </c>
      <c r="C71" s="24">
        <f>IFERROR(발주서!M71," ")</f>
        <v>0</v>
      </c>
      <c r="D71" s="24" t="str">
        <f>발주서!P71</f>
        <v> </v>
      </c>
      <c r="E71" s="25"/>
      <c r="F71" s="26"/>
    </row>
    <row r="72" spans="1:6" x14ac:dyDescent="0.25">
      <c r="A72" s="23">
        <v>71</v>
      </c>
      <c r="B72" s="24" t="str">
        <f>IFERROR(발주서!L72, " ")</f>
        <v>  </v>
      </c>
      <c r="C72" s="24">
        <f>IFERROR(발주서!M72," ")</f>
        <v>0</v>
      </c>
      <c r="D72" s="24" t="str">
        <f>발주서!P72</f>
        <v> </v>
      </c>
      <c r="E72" s="25"/>
      <c r="F72" s="26"/>
    </row>
    <row r="73" spans="1:6" x14ac:dyDescent="0.25">
      <c r="A73" s="23">
        <v>72</v>
      </c>
      <c r="B73" s="24" t="str">
        <f>IFERROR(발주서!L73, " ")</f>
        <v>  </v>
      </c>
      <c r="C73" s="24">
        <f>IFERROR(발주서!M73," ")</f>
        <v>0</v>
      </c>
      <c r="D73" s="24" t="str">
        <f>발주서!P73</f>
        <v> </v>
      </c>
      <c r="E73" s="25"/>
      <c r="F73" s="26"/>
    </row>
    <row r="74" spans="1:6" x14ac:dyDescent="0.25">
      <c r="A74" s="23">
        <v>73</v>
      </c>
      <c r="B74" s="24" t="str">
        <f>IFERROR(발주서!L74, " ")</f>
        <v>  </v>
      </c>
      <c r="C74" s="24">
        <f>IFERROR(발주서!M74," ")</f>
        <v>0</v>
      </c>
      <c r="D74" s="24" t="str">
        <f>발주서!P74</f>
        <v> </v>
      </c>
      <c r="E74" s="25"/>
      <c r="F74" s="26"/>
    </row>
    <row r="75" spans="1:6" x14ac:dyDescent="0.25">
      <c r="A75" s="23">
        <v>74</v>
      </c>
      <c r="B75" s="24" t="str">
        <f>IFERROR(발주서!L75, " ")</f>
        <v>  </v>
      </c>
      <c r="C75" s="24">
        <f>IFERROR(발주서!M75," ")</f>
        <v>0</v>
      </c>
      <c r="D75" s="24" t="str">
        <f>발주서!P75</f>
        <v> </v>
      </c>
      <c r="E75" s="25"/>
      <c r="F75" s="26"/>
    </row>
    <row r="76" spans="1:6" x14ac:dyDescent="0.25">
      <c r="A76" s="23">
        <v>75</v>
      </c>
      <c r="B76" s="24" t="str">
        <f>IFERROR(발주서!L76, " ")</f>
        <v>  </v>
      </c>
      <c r="C76" s="24">
        <f>IFERROR(발주서!M76," ")</f>
        <v>0</v>
      </c>
      <c r="D76" s="24" t="str">
        <f>발주서!P76</f>
        <v> </v>
      </c>
      <c r="E76" s="25"/>
      <c r="F76" s="26"/>
    </row>
    <row r="77" spans="1:6" x14ac:dyDescent="0.25">
      <c r="A77" s="23">
        <v>76</v>
      </c>
      <c r="B77" s="24" t="str">
        <f>IFERROR(발주서!L77, " ")</f>
        <v>  </v>
      </c>
      <c r="C77" s="24">
        <f>IFERROR(발주서!M77," ")</f>
        <v>0</v>
      </c>
      <c r="D77" s="24" t="str">
        <f>발주서!P77</f>
        <v> </v>
      </c>
      <c r="E77" s="25"/>
      <c r="F77" s="26"/>
    </row>
    <row r="78" spans="1:6" x14ac:dyDescent="0.25">
      <c r="A78" s="23">
        <v>77</v>
      </c>
      <c r="B78" s="24" t="str">
        <f>IFERROR(발주서!L78, " ")</f>
        <v>  </v>
      </c>
      <c r="C78" s="24">
        <f>IFERROR(발주서!M78," ")</f>
        <v>0</v>
      </c>
      <c r="D78" s="24" t="str">
        <f>발주서!P78</f>
        <v> </v>
      </c>
      <c r="E78" s="25"/>
      <c r="F78" s="26"/>
    </row>
    <row r="79" spans="1:6" x14ac:dyDescent="0.25">
      <c r="A79" s="23">
        <v>78</v>
      </c>
      <c r="B79" s="24" t="str">
        <f>IFERROR(발주서!L79, " ")</f>
        <v>  </v>
      </c>
      <c r="C79" s="24">
        <f>IFERROR(발주서!M79," ")</f>
        <v>0</v>
      </c>
      <c r="D79" s="24" t="str">
        <f>발주서!P79</f>
        <v> </v>
      </c>
      <c r="E79" s="25"/>
      <c r="F79" s="26"/>
    </row>
    <row r="80" spans="1:6" x14ac:dyDescent="0.25">
      <c r="A80" s="23">
        <v>79</v>
      </c>
      <c r="B80" s="24" t="str">
        <f>IFERROR(발주서!L80, " ")</f>
        <v>  </v>
      </c>
      <c r="C80" s="24">
        <f>IFERROR(발주서!M80," ")</f>
        <v>0</v>
      </c>
      <c r="D80" s="24" t="str">
        <f>발주서!P80</f>
        <v> </v>
      </c>
      <c r="E80" s="25"/>
      <c r="F80" s="26"/>
    </row>
    <row r="81" spans="1:6" x14ac:dyDescent="0.25">
      <c r="A81" s="23">
        <v>80</v>
      </c>
      <c r="B81" s="24" t="str">
        <f>IFERROR(발주서!L81, " ")</f>
        <v>  </v>
      </c>
      <c r="C81" s="24">
        <f>IFERROR(발주서!M81," ")</f>
        <v>0</v>
      </c>
      <c r="D81" s="24" t="str">
        <f>발주서!P81</f>
        <v> </v>
      </c>
      <c r="E81" s="25"/>
      <c r="F81" s="26"/>
    </row>
    <row r="82" spans="1:6" x14ac:dyDescent="0.25">
      <c r="A82" s="23">
        <v>81</v>
      </c>
      <c r="B82" s="24" t="str">
        <f>IFERROR(발주서!L82, " ")</f>
        <v>  </v>
      </c>
      <c r="C82" s="24">
        <f>IFERROR(발주서!M82," ")</f>
        <v>0</v>
      </c>
      <c r="D82" s="24" t="str">
        <f>발주서!P82</f>
        <v> </v>
      </c>
      <c r="E82" s="25"/>
      <c r="F82" s="26"/>
    </row>
    <row r="83" spans="1:6" x14ac:dyDescent="0.25">
      <c r="A83" s="23">
        <v>82</v>
      </c>
      <c r="B83" s="24" t="str">
        <f>IFERROR(발주서!L83, " ")</f>
        <v>  </v>
      </c>
      <c r="C83" s="24">
        <f>IFERROR(발주서!M83," ")</f>
        <v>0</v>
      </c>
      <c r="D83" s="24" t="str">
        <f>발주서!P83</f>
        <v> </v>
      </c>
      <c r="E83" s="25"/>
      <c r="F83" s="26"/>
    </row>
    <row r="84" spans="1:6" x14ac:dyDescent="0.25">
      <c r="A84" s="23">
        <v>83</v>
      </c>
      <c r="B84" s="24" t="str">
        <f>IFERROR(발주서!L84, " ")</f>
        <v>  </v>
      </c>
      <c r="C84" s="24">
        <f>IFERROR(발주서!M84," ")</f>
        <v>0</v>
      </c>
      <c r="D84" s="24" t="str">
        <f>발주서!P84</f>
        <v> </v>
      </c>
      <c r="E84" s="25"/>
      <c r="F84" s="26"/>
    </row>
    <row r="85" spans="1:6" x14ac:dyDescent="0.25">
      <c r="A85" s="23">
        <v>84</v>
      </c>
      <c r="B85" s="24" t="str">
        <f>IFERROR(발주서!L85, " ")</f>
        <v>  </v>
      </c>
      <c r="C85" s="24">
        <f>IFERROR(발주서!M85," ")</f>
        <v>0</v>
      </c>
      <c r="D85" s="24" t="str">
        <f>발주서!P85</f>
        <v> </v>
      </c>
      <c r="E85" s="25"/>
      <c r="F85" s="26"/>
    </row>
    <row r="86" spans="1:6" x14ac:dyDescent="0.25">
      <c r="A86" s="23">
        <v>85</v>
      </c>
      <c r="B86" s="24" t="str">
        <f>IFERROR(발주서!L86, " ")</f>
        <v>  </v>
      </c>
      <c r="C86" s="24">
        <f>IFERROR(발주서!M86," ")</f>
        <v>0</v>
      </c>
      <c r="D86" s="24" t="str">
        <f>발주서!P86</f>
        <v> </v>
      </c>
      <c r="E86" s="25"/>
      <c r="F86" s="26"/>
    </row>
    <row r="87" spans="1:6" x14ac:dyDescent="0.25">
      <c r="A87" s="23">
        <v>86</v>
      </c>
      <c r="B87" s="24" t="str">
        <f>IFERROR(발주서!L87, " ")</f>
        <v>  </v>
      </c>
      <c r="C87" s="24">
        <f>IFERROR(발주서!M87," ")</f>
        <v>0</v>
      </c>
      <c r="D87" s="24" t="str">
        <f>발주서!P87</f>
        <v> </v>
      </c>
      <c r="E87" s="25"/>
      <c r="F87" s="26"/>
    </row>
    <row r="88" spans="1:6" x14ac:dyDescent="0.25">
      <c r="A88" s="23">
        <v>87</v>
      </c>
      <c r="B88" s="24" t="str">
        <f>IFERROR(발주서!L88, " ")</f>
        <v>  </v>
      </c>
      <c r="C88" s="24">
        <f>IFERROR(발주서!M88," ")</f>
        <v>0</v>
      </c>
      <c r="D88" s="24" t="str">
        <f>발주서!P88</f>
        <v> </v>
      </c>
      <c r="E88" s="25"/>
      <c r="F88" s="26"/>
    </row>
    <row r="89" spans="1:6" x14ac:dyDescent="0.25">
      <c r="A89" s="23">
        <v>88</v>
      </c>
      <c r="B89" s="24" t="str">
        <f>IFERROR(발주서!L89, " ")</f>
        <v>  </v>
      </c>
      <c r="C89" s="24">
        <f>IFERROR(발주서!M89," ")</f>
        <v>0</v>
      </c>
      <c r="D89" s="24" t="str">
        <f>발주서!P89</f>
        <v> </v>
      </c>
      <c r="E89" s="25"/>
      <c r="F89" s="26"/>
    </row>
    <row r="90" spans="1:6" x14ac:dyDescent="0.25">
      <c r="A90" s="23">
        <v>89</v>
      </c>
      <c r="B90" s="24" t="str">
        <f>IFERROR(발주서!L90, " ")</f>
        <v>  </v>
      </c>
      <c r="C90" s="24">
        <f>IFERROR(발주서!M90," ")</f>
        <v>0</v>
      </c>
      <c r="D90" s="24" t="str">
        <f>발주서!P90</f>
        <v> </v>
      </c>
      <c r="E90" s="25"/>
      <c r="F90" s="26"/>
    </row>
    <row r="91" spans="1:6" x14ac:dyDescent="0.25">
      <c r="A91" s="23">
        <v>90</v>
      </c>
      <c r="B91" s="24" t="str">
        <f>IFERROR(발주서!L91, " ")</f>
        <v>  </v>
      </c>
      <c r="C91" s="24">
        <f>IFERROR(발주서!M91," ")</f>
        <v>0</v>
      </c>
      <c r="D91" s="24" t="str">
        <f>발주서!P91</f>
        <v> </v>
      </c>
      <c r="E91" s="25"/>
      <c r="F91" s="26"/>
    </row>
    <row r="92" spans="1:6" x14ac:dyDescent="0.25">
      <c r="A92" s="23">
        <v>91</v>
      </c>
      <c r="B92" s="24" t="str">
        <f>IFERROR(발주서!L92, " ")</f>
        <v>  </v>
      </c>
      <c r="C92" s="24">
        <f>IFERROR(발주서!M92," ")</f>
        <v>0</v>
      </c>
      <c r="D92" s="24" t="str">
        <f>발주서!P92</f>
        <v> </v>
      </c>
      <c r="E92" s="25"/>
      <c r="F92" s="26"/>
    </row>
    <row r="93" spans="1:6" x14ac:dyDescent="0.25">
      <c r="A93" s="23">
        <v>92</v>
      </c>
      <c r="B93" s="24" t="str">
        <f>IFERROR(발주서!L93, " ")</f>
        <v>  </v>
      </c>
      <c r="C93" s="24">
        <f>IFERROR(발주서!M93," ")</f>
        <v>0</v>
      </c>
      <c r="D93" s="24" t="str">
        <f>발주서!P93</f>
        <v> </v>
      </c>
      <c r="E93" s="25"/>
      <c r="F93" s="26"/>
    </row>
    <row r="94" spans="1:6" x14ac:dyDescent="0.25">
      <c r="A94" s="23">
        <v>93</v>
      </c>
      <c r="B94" s="24" t="str">
        <f>IFERROR(발주서!L94, " ")</f>
        <v>  </v>
      </c>
      <c r="C94" s="24">
        <f>IFERROR(발주서!M94," ")</f>
        <v>0</v>
      </c>
      <c r="D94" s="24" t="str">
        <f>발주서!P94</f>
        <v> </v>
      </c>
      <c r="E94" s="25"/>
      <c r="F94" s="26"/>
    </row>
    <row r="95" spans="1:6" x14ac:dyDescent="0.25">
      <c r="A95" s="23">
        <v>94</v>
      </c>
      <c r="B95" s="24" t="str">
        <f>IFERROR(발주서!L95, " ")</f>
        <v>  </v>
      </c>
      <c r="C95" s="24">
        <f>IFERROR(발주서!M95," ")</f>
        <v>0</v>
      </c>
      <c r="D95" s="24" t="str">
        <f>발주서!P95</f>
        <v> </v>
      </c>
      <c r="E95" s="25"/>
      <c r="F95" s="26"/>
    </row>
    <row r="96" spans="1:6" x14ac:dyDescent="0.25">
      <c r="A96" s="23">
        <v>95</v>
      </c>
      <c r="B96" s="24" t="str">
        <f>IFERROR(발주서!L96, " ")</f>
        <v>  </v>
      </c>
      <c r="C96" s="24">
        <f>IFERROR(발주서!M96," ")</f>
        <v>0</v>
      </c>
      <c r="D96" s="24" t="str">
        <f>발주서!P96</f>
        <v> </v>
      </c>
      <c r="E96" s="25"/>
      <c r="F96" s="26"/>
    </row>
    <row r="97" spans="1:6" x14ac:dyDescent="0.25">
      <c r="A97" s="23">
        <v>96</v>
      </c>
      <c r="B97" s="24" t="str">
        <f>IFERROR(발주서!L97, " ")</f>
        <v>  </v>
      </c>
      <c r="C97" s="24">
        <f>IFERROR(발주서!M97," ")</f>
        <v>0</v>
      </c>
      <c r="D97" s="24" t="str">
        <f>발주서!P97</f>
        <v> </v>
      </c>
      <c r="E97" s="25"/>
      <c r="F97" s="26"/>
    </row>
    <row r="98" spans="1:6" x14ac:dyDescent="0.25">
      <c r="A98" s="23">
        <v>97</v>
      </c>
      <c r="B98" s="24" t="str">
        <f>IFERROR(발주서!L98, " ")</f>
        <v>  </v>
      </c>
      <c r="C98" s="24">
        <f>IFERROR(발주서!M98," ")</f>
        <v>0</v>
      </c>
      <c r="D98" s="24" t="str">
        <f>발주서!P98</f>
        <v> </v>
      </c>
      <c r="E98" s="25"/>
      <c r="F98" s="26"/>
    </row>
    <row r="99" spans="1:6" x14ac:dyDescent="0.25">
      <c r="A99" s="23">
        <v>98</v>
      </c>
      <c r="B99" s="24" t="str">
        <f>IFERROR(발주서!L99, " ")</f>
        <v>  </v>
      </c>
      <c r="C99" s="24">
        <f>IFERROR(발주서!M99," ")</f>
        <v>0</v>
      </c>
      <c r="D99" s="24" t="str">
        <f>발주서!P99</f>
        <v> </v>
      </c>
      <c r="E99" s="25"/>
      <c r="F99" s="26"/>
    </row>
    <row r="100" spans="1:6" x14ac:dyDescent="0.25">
      <c r="A100" s="23">
        <v>99</v>
      </c>
      <c r="B100" s="24" t="str">
        <f>IFERROR(발주서!L100, " ")</f>
        <v>  </v>
      </c>
      <c r="C100" s="24">
        <f>IFERROR(발주서!M100," ")</f>
        <v>0</v>
      </c>
      <c r="D100" s="24" t="str">
        <f>발주서!P100</f>
        <v> </v>
      </c>
      <c r="E100" s="25"/>
      <c r="F100" s="26"/>
    </row>
    <row r="101" spans="1:6" x14ac:dyDescent="0.25">
      <c r="A101" s="23">
        <v>100</v>
      </c>
      <c r="B101" s="24" t="str">
        <f>IFERROR(발주서!L101, " ")</f>
        <v>  </v>
      </c>
      <c r="C101" s="24">
        <f>IFERROR(발주서!M101," ")</f>
        <v>0</v>
      </c>
      <c r="D101" s="24" t="str">
        <f>발주서!P101</f>
        <v> </v>
      </c>
      <c r="E101" s="25"/>
      <c r="F101" s="26"/>
    </row>
    <row r="102" spans="1:6" x14ac:dyDescent="0.25">
      <c r="A102" s="23">
        <v>101</v>
      </c>
      <c r="B102" s="24" t="str">
        <f>IFERROR(발주서!L102, " ")</f>
        <v>  </v>
      </c>
      <c r="C102" s="24">
        <f>IFERROR(발주서!M102," ")</f>
        <v>0</v>
      </c>
      <c r="D102" s="24" t="str">
        <f>발주서!P102</f>
        <v> </v>
      </c>
      <c r="E102" s="25"/>
      <c r="F102" s="26"/>
    </row>
    <row r="103" spans="1:6" x14ac:dyDescent="0.25">
      <c r="A103" s="23">
        <v>102</v>
      </c>
      <c r="B103" s="24" t="str">
        <f>IFERROR(발주서!L103, " ")</f>
        <v>  </v>
      </c>
      <c r="C103" s="24">
        <f>IFERROR(발주서!M103," ")</f>
        <v>0</v>
      </c>
      <c r="D103" s="24" t="str">
        <f>발주서!P103</f>
        <v> </v>
      </c>
      <c r="E103" s="25"/>
      <c r="F103" s="26"/>
    </row>
    <row r="104" spans="1:6" x14ac:dyDescent="0.25">
      <c r="A104" s="23">
        <v>103</v>
      </c>
      <c r="B104" s="24" t="str">
        <f>IFERROR(발주서!L104, " ")</f>
        <v>  </v>
      </c>
      <c r="C104" s="24">
        <f>IFERROR(발주서!M104," ")</f>
        <v>0</v>
      </c>
      <c r="D104" s="24" t="str">
        <f>발주서!P104</f>
        <v> </v>
      </c>
      <c r="E104" s="25"/>
      <c r="F104" s="26"/>
    </row>
    <row r="105" spans="1:6" x14ac:dyDescent="0.25">
      <c r="A105" s="23">
        <v>104</v>
      </c>
      <c r="B105" s="24" t="str">
        <f>IFERROR(발주서!L105, " ")</f>
        <v>  </v>
      </c>
      <c r="C105" s="24">
        <f>IFERROR(발주서!M105," ")</f>
        <v>0</v>
      </c>
      <c r="D105" s="24" t="str">
        <f>발주서!P105</f>
        <v> </v>
      </c>
      <c r="E105" s="25"/>
      <c r="F105" s="26"/>
    </row>
    <row r="106" spans="1:6" x14ac:dyDescent="0.25">
      <c r="A106" s="23">
        <v>105</v>
      </c>
      <c r="B106" s="24" t="str">
        <f>IFERROR(발주서!L106, " ")</f>
        <v>  </v>
      </c>
      <c r="C106" s="24">
        <f>IFERROR(발주서!M106," ")</f>
        <v>0</v>
      </c>
      <c r="D106" s="24" t="str">
        <f>발주서!P106</f>
        <v> </v>
      </c>
      <c r="E106" s="25"/>
      <c r="F106" s="26"/>
    </row>
    <row r="107" spans="1:6" x14ac:dyDescent="0.25">
      <c r="A107" s="23">
        <v>106</v>
      </c>
      <c r="B107" s="24" t="str">
        <f>IFERROR(발주서!L107, " ")</f>
        <v>  </v>
      </c>
      <c r="C107" s="24">
        <f>IFERROR(발주서!M107," ")</f>
        <v>0</v>
      </c>
      <c r="D107" s="24" t="str">
        <f>발주서!P107</f>
        <v> </v>
      </c>
      <c r="E107" s="25"/>
      <c r="F107" s="26"/>
    </row>
    <row r="108" spans="1:6" x14ac:dyDescent="0.25">
      <c r="A108" s="23">
        <v>107</v>
      </c>
      <c r="B108" s="24" t="str">
        <f>IFERROR(발주서!L108, " ")</f>
        <v>  </v>
      </c>
      <c r="C108" s="24">
        <f>IFERROR(발주서!M108," ")</f>
        <v>0</v>
      </c>
      <c r="D108" s="24" t="str">
        <f>발주서!P108</f>
        <v> </v>
      </c>
      <c r="E108" s="25"/>
      <c r="F108" s="26"/>
    </row>
    <row r="109" spans="1:6" x14ac:dyDescent="0.25">
      <c r="A109" s="23">
        <v>108</v>
      </c>
      <c r="B109" s="24" t="str">
        <f>IFERROR(발주서!L109, " ")</f>
        <v>  </v>
      </c>
      <c r="C109" s="24">
        <f>IFERROR(발주서!M109," ")</f>
        <v>0</v>
      </c>
      <c r="D109" s="24" t="str">
        <f>발주서!P109</f>
        <v> </v>
      </c>
      <c r="E109" s="25"/>
      <c r="F109" s="26"/>
    </row>
    <row r="110" spans="1:6" x14ac:dyDescent="0.25">
      <c r="A110" s="23">
        <v>109</v>
      </c>
      <c r="B110" s="24" t="str">
        <f>IFERROR(발주서!L110, " ")</f>
        <v>  </v>
      </c>
      <c r="C110" s="24">
        <f>IFERROR(발주서!M110," ")</f>
        <v>0</v>
      </c>
      <c r="D110" s="24" t="str">
        <f>발주서!P110</f>
        <v> </v>
      </c>
      <c r="E110" s="25"/>
      <c r="F110" s="26"/>
    </row>
    <row r="111" spans="1:6" x14ac:dyDescent="0.25">
      <c r="A111" s="23">
        <v>110</v>
      </c>
      <c r="B111" s="24" t="str">
        <f>IFERROR(발주서!L111, " ")</f>
        <v>  </v>
      </c>
      <c r="C111" s="24">
        <f>IFERROR(발주서!M111," ")</f>
        <v>0</v>
      </c>
      <c r="D111" s="24" t="str">
        <f>발주서!P111</f>
        <v> </v>
      </c>
      <c r="E111" s="25"/>
      <c r="F111" s="26"/>
    </row>
    <row r="112" spans="1:6" x14ac:dyDescent="0.25">
      <c r="A112" s="23">
        <v>111</v>
      </c>
      <c r="B112" s="24" t="str">
        <f>IFERROR(발주서!L112, " ")</f>
        <v>  </v>
      </c>
      <c r="C112" s="24">
        <f>IFERROR(발주서!M112," ")</f>
        <v>0</v>
      </c>
      <c r="D112" s="24" t="str">
        <f>발주서!P112</f>
        <v> </v>
      </c>
      <c r="E112" s="25"/>
      <c r="F112" s="26"/>
    </row>
    <row r="113" spans="1:6" x14ac:dyDescent="0.25">
      <c r="A113" s="23">
        <v>112</v>
      </c>
      <c r="B113" s="24" t="str">
        <f>IFERROR(발주서!L113, " ")</f>
        <v>  </v>
      </c>
      <c r="C113" s="24">
        <f>IFERROR(발주서!M113," ")</f>
        <v>0</v>
      </c>
      <c r="D113" s="24" t="str">
        <f>발주서!P113</f>
        <v> </v>
      </c>
      <c r="E113" s="25"/>
      <c r="F113" s="26"/>
    </row>
    <row r="114" spans="1:6" x14ac:dyDescent="0.25">
      <c r="A114" s="23">
        <v>113</v>
      </c>
      <c r="B114" s="24" t="str">
        <f>IFERROR(발주서!L114, " ")</f>
        <v>  </v>
      </c>
      <c r="C114" s="24">
        <f>IFERROR(발주서!M114," ")</f>
        <v>0</v>
      </c>
      <c r="D114" s="24" t="str">
        <f>발주서!P114</f>
        <v> </v>
      </c>
      <c r="E114" s="25"/>
      <c r="F114" s="26"/>
    </row>
    <row r="115" spans="1:6" x14ac:dyDescent="0.25">
      <c r="A115" s="23">
        <v>114</v>
      </c>
      <c r="B115" s="24" t="str">
        <f>IFERROR(발주서!L115, " ")</f>
        <v>  </v>
      </c>
      <c r="C115" s="24">
        <f>IFERROR(발주서!M115," ")</f>
        <v>0</v>
      </c>
      <c r="D115" s="24" t="str">
        <f>발주서!P115</f>
        <v> </v>
      </c>
      <c r="E115" s="25"/>
      <c r="F115" s="26"/>
    </row>
    <row r="116" spans="1:6" x14ac:dyDescent="0.25">
      <c r="A116" s="23">
        <v>115</v>
      </c>
      <c r="B116" s="24" t="str">
        <f>IFERROR(발주서!L116, " ")</f>
        <v>  </v>
      </c>
      <c r="C116" s="24">
        <f>IFERROR(발주서!M116," ")</f>
        <v>0</v>
      </c>
      <c r="D116" s="24" t="str">
        <f>발주서!P116</f>
        <v> </v>
      </c>
      <c r="E116" s="25"/>
      <c r="F116" s="26"/>
    </row>
    <row r="117" spans="1:6" x14ac:dyDescent="0.25">
      <c r="A117" s="23">
        <v>116</v>
      </c>
      <c r="B117" s="24" t="str">
        <f>IFERROR(발주서!L117, " ")</f>
        <v>  </v>
      </c>
      <c r="C117" s="24">
        <f>IFERROR(발주서!M117," ")</f>
        <v>0</v>
      </c>
      <c r="D117" s="24" t="str">
        <f>발주서!P117</f>
        <v> </v>
      </c>
      <c r="E117" s="25"/>
      <c r="F117" s="26"/>
    </row>
    <row r="118" spans="1:6" x14ac:dyDescent="0.25">
      <c r="A118" s="23">
        <v>117</v>
      </c>
      <c r="B118" s="24" t="str">
        <f>IFERROR(발주서!L118, " ")</f>
        <v>  </v>
      </c>
      <c r="C118" s="24">
        <f>IFERROR(발주서!M118," ")</f>
        <v>0</v>
      </c>
      <c r="D118" s="24" t="str">
        <f>발주서!P118</f>
        <v> </v>
      </c>
      <c r="E118" s="25"/>
      <c r="F118" s="26"/>
    </row>
    <row r="119" spans="1:6" x14ac:dyDescent="0.25">
      <c r="A119" s="23">
        <v>118</v>
      </c>
      <c r="B119" s="24" t="str">
        <f>IFERROR(발주서!L119, " ")</f>
        <v>  </v>
      </c>
      <c r="C119" s="24">
        <f>IFERROR(발주서!M119," ")</f>
        <v>0</v>
      </c>
      <c r="D119" s="24" t="str">
        <f>발주서!P119</f>
        <v> </v>
      </c>
      <c r="E119" s="25"/>
      <c r="F119" s="26"/>
    </row>
    <row r="120" spans="1:6" x14ac:dyDescent="0.25">
      <c r="A120" s="23">
        <v>119</v>
      </c>
      <c r="B120" s="24" t="str">
        <f>IFERROR(발주서!L120, " ")</f>
        <v>  </v>
      </c>
      <c r="C120" s="24">
        <f>IFERROR(발주서!M120," ")</f>
        <v>0</v>
      </c>
      <c r="D120" s="24" t="str">
        <f>발주서!P120</f>
        <v> </v>
      </c>
      <c r="E120" s="25"/>
      <c r="F120" s="26"/>
    </row>
    <row r="121" spans="1:6" x14ac:dyDescent="0.25">
      <c r="A121" s="23">
        <v>120</v>
      </c>
      <c r="B121" s="24" t="str">
        <f>IFERROR(발주서!L121, " ")</f>
        <v>  </v>
      </c>
      <c r="C121" s="24">
        <f>IFERROR(발주서!M121," ")</f>
        <v>0</v>
      </c>
      <c r="D121" s="24" t="str">
        <f>발주서!P121</f>
        <v> </v>
      </c>
      <c r="E121" s="25"/>
      <c r="F121" s="26"/>
    </row>
    <row r="122" spans="1:6" x14ac:dyDescent="0.25">
      <c r="A122" s="23">
        <v>121</v>
      </c>
      <c r="B122" s="24" t="str">
        <f>IFERROR(발주서!L122, " ")</f>
        <v>  </v>
      </c>
      <c r="C122" s="24">
        <f>IFERROR(발주서!M122," ")</f>
        <v>0</v>
      </c>
      <c r="D122" s="24" t="str">
        <f>발주서!P122</f>
        <v> </v>
      </c>
      <c r="E122" s="25"/>
      <c r="F122" s="26"/>
    </row>
    <row r="123" spans="1:6" x14ac:dyDescent="0.25">
      <c r="A123" s="23">
        <v>122</v>
      </c>
      <c r="B123" s="24" t="str">
        <f>IFERROR(발주서!L123, " ")</f>
        <v>  </v>
      </c>
      <c r="C123" s="24">
        <f>IFERROR(발주서!M123," ")</f>
        <v>0</v>
      </c>
      <c r="D123" s="24" t="str">
        <f>발주서!P123</f>
        <v> </v>
      </c>
      <c r="E123" s="25"/>
      <c r="F123" s="26"/>
    </row>
    <row r="124" spans="1:6" x14ac:dyDescent="0.25">
      <c r="A124" s="23">
        <v>123</v>
      </c>
      <c r="B124" s="24" t="str">
        <f>IFERROR(발주서!L124, " ")</f>
        <v>  </v>
      </c>
      <c r="C124" s="24">
        <f>IFERROR(발주서!M124," ")</f>
        <v>0</v>
      </c>
      <c r="D124" s="24" t="str">
        <f>발주서!P124</f>
        <v> </v>
      </c>
      <c r="E124" s="25"/>
      <c r="F124" s="26"/>
    </row>
    <row r="125" spans="1:6" x14ac:dyDescent="0.25">
      <c r="A125" s="23">
        <v>124</v>
      </c>
      <c r="B125" s="24" t="str">
        <f>IFERROR(발주서!L125, " ")</f>
        <v>  </v>
      </c>
      <c r="C125" s="24">
        <f>IFERROR(발주서!M125," ")</f>
        <v>0</v>
      </c>
      <c r="D125" s="24" t="str">
        <f>발주서!P125</f>
        <v> </v>
      </c>
      <c r="E125" s="25"/>
      <c r="F125" s="26"/>
    </row>
    <row r="126" spans="1:6" x14ac:dyDescent="0.25">
      <c r="A126" s="23">
        <v>125</v>
      </c>
      <c r="B126" s="24" t="str">
        <f>IFERROR(발주서!L126, " ")</f>
        <v>  </v>
      </c>
      <c r="C126" s="24">
        <f>IFERROR(발주서!M126," ")</f>
        <v>0</v>
      </c>
      <c r="D126" s="24" t="str">
        <f>발주서!P126</f>
        <v> </v>
      </c>
      <c r="E126" s="25"/>
      <c r="F126" s="26"/>
    </row>
    <row r="127" spans="1:6" x14ac:dyDescent="0.25">
      <c r="A127" s="23">
        <v>126</v>
      </c>
      <c r="B127" s="24" t="str">
        <f>IFERROR(발주서!L127, " ")</f>
        <v>  </v>
      </c>
      <c r="C127" s="24">
        <f>IFERROR(발주서!M127," ")</f>
        <v>0</v>
      </c>
      <c r="D127" s="24" t="str">
        <f>발주서!P127</f>
        <v> </v>
      </c>
      <c r="E127" s="25"/>
      <c r="F127" s="26"/>
    </row>
    <row r="128" spans="1:6" x14ac:dyDescent="0.25">
      <c r="A128" s="23">
        <v>127</v>
      </c>
      <c r="B128" s="24" t="str">
        <f>IFERROR(발주서!L128, " ")</f>
        <v>  </v>
      </c>
      <c r="C128" s="24">
        <f>IFERROR(발주서!M128," ")</f>
        <v>0</v>
      </c>
      <c r="D128" s="24" t="str">
        <f>발주서!P128</f>
        <v> </v>
      </c>
      <c r="E128" s="25"/>
      <c r="F128" s="26"/>
    </row>
    <row r="129" spans="1:6" x14ac:dyDescent="0.25">
      <c r="A129" s="23">
        <v>128</v>
      </c>
      <c r="B129" s="24" t="str">
        <f>IFERROR(발주서!L129, " ")</f>
        <v>  </v>
      </c>
      <c r="C129" s="24">
        <f>IFERROR(발주서!M129," ")</f>
        <v>0</v>
      </c>
      <c r="D129" s="24" t="str">
        <f>발주서!P129</f>
        <v> </v>
      </c>
      <c r="E129" s="25"/>
      <c r="F129" s="26"/>
    </row>
    <row r="130" spans="1:6" x14ac:dyDescent="0.25">
      <c r="A130" s="23">
        <v>129</v>
      </c>
      <c r="B130" s="24" t="str">
        <f>IFERROR(발주서!L130, " ")</f>
        <v>  </v>
      </c>
      <c r="C130" s="24">
        <f>IFERROR(발주서!M130," ")</f>
        <v>0</v>
      </c>
      <c r="D130" s="24" t="str">
        <f>발주서!P130</f>
        <v> </v>
      </c>
      <c r="E130" s="25"/>
      <c r="F130" s="26"/>
    </row>
    <row r="131" spans="1:6" x14ac:dyDescent="0.25">
      <c r="A131" s="23">
        <v>130</v>
      </c>
      <c r="B131" s="24" t="str">
        <f>IFERROR(발주서!L131, " ")</f>
        <v>  </v>
      </c>
      <c r="C131" s="24">
        <f>IFERROR(발주서!M131," ")</f>
        <v>0</v>
      </c>
      <c r="D131" s="24" t="str">
        <f>발주서!P131</f>
        <v> </v>
      </c>
      <c r="E131" s="25"/>
      <c r="F131" s="26"/>
    </row>
    <row r="132" spans="1:6" x14ac:dyDescent="0.25">
      <c r="A132" s="23">
        <v>131</v>
      </c>
      <c r="B132" s="24" t="str">
        <f>IFERROR(발주서!L132, " ")</f>
        <v>  </v>
      </c>
      <c r="C132" s="24">
        <f>IFERROR(발주서!M132," ")</f>
        <v>0</v>
      </c>
      <c r="D132" s="24" t="str">
        <f>발주서!P132</f>
        <v> </v>
      </c>
      <c r="E132" s="25"/>
      <c r="F132" s="26"/>
    </row>
    <row r="133" spans="1:6" x14ac:dyDescent="0.25">
      <c r="A133" s="23">
        <v>132</v>
      </c>
      <c r="B133" s="24" t="str">
        <f>IFERROR(발주서!L133, " ")</f>
        <v>  </v>
      </c>
      <c r="C133" s="24">
        <f>IFERROR(발주서!M133," ")</f>
        <v>0</v>
      </c>
      <c r="D133" s="24" t="str">
        <f>발주서!P133</f>
        <v> </v>
      </c>
      <c r="E133" s="25"/>
      <c r="F133" s="26"/>
    </row>
    <row r="134" spans="1:6" x14ac:dyDescent="0.25">
      <c r="A134" s="23">
        <v>133</v>
      </c>
      <c r="B134" s="24" t="str">
        <f>IFERROR(발주서!L134, " ")</f>
        <v>  </v>
      </c>
      <c r="C134" s="24">
        <f>IFERROR(발주서!M134," ")</f>
        <v>0</v>
      </c>
      <c r="D134" s="24" t="str">
        <f>발주서!P134</f>
        <v> </v>
      </c>
      <c r="E134" s="25"/>
      <c r="F134" s="26"/>
    </row>
    <row r="135" spans="1:6" x14ac:dyDescent="0.25">
      <c r="A135" s="23">
        <v>134</v>
      </c>
      <c r="B135" s="24" t="str">
        <f>IFERROR(발주서!L135, " ")</f>
        <v>  </v>
      </c>
      <c r="C135" s="24">
        <f>IFERROR(발주서!M135," ")</f>
        <v>0</v>
      </c>
      <c r="D135" s="24" t="str">
        <f>발주서!P135</f>
        <v> </v>
      </c>
      <c r="E135" s="25"/>
      <c r="F135" s="26"/>
    </row>
    <row r="136" spans="1:6" x14ac:dyDescent="0.25">
      <c r="A136" s="23">
        <v>135</v>
      </c>
      <c r="B136" s="24" t="str">
        <f>IFERROR(발주서!L136, " ")</f>
        <v>  </v>
      </c>
      <c r="C136" s="24">
        <f>IFERROR(발주서!M136," ")</f>
        <v>0</v>
      </c>
      <c r="D136" s="24" t="str">
        <f>발주서!P136</f>
        <v> </v>
      </c>
      <c r="E136" s="25"/>
      <c r="F136" s="26"/>
    </row>
    <row r="137" spans="1:6" x14ac:dyDescent="0.25">
      <c r="A137" s="23">
        <v>136</v>
      </c>
      <c r="B137" s="24" t="str">
        <f>IFERROR(발주서!L137, " ")</f>
        <v>  </v>
      </c>
      <c r="C137" s="24">
        <f>IFERROR(발주서!M137," ")</f>
        <v>0</v>
      </c>
      <c r="D137" s="24" t="str">
        <f>발주서!P137</f>
        <v> </v>
      </c>
      <c r="E137" s="25"/>
      <c r="F137" s="26"/>
    </row>
    <row r="138" spans="1:6" x14ac:dyDescent="0.25">
      <c r="A138" s="23">
        <v>137</v>
      </c>
      <c r="B138" s="24" t="str">
        <f>IFERROR(발주서!L138, " ")</f>
        <v>  </v>
      </c>
      <c r="C138" s="24">
        <f>IFERROR(발주서!M138," ")</f>
        <v>0</v>
      </c>
      <c r="D138" s="24" t="str">
        <f>발주서!P138</f>
        <v> </v>
      </c>
      <c r="E138" s="25"/>
      <c r="F138" s="26"/>
    </row>
    <row r="139" spans="1:6" x14ac:dyDescent="0.25">
      <c r="A139" s="23">
        <v>138</v>
      </c>
      <c r="B139" s="24" t="str">
        <f>IFERROR(발주서!L139, " ")</f>
        <v>  </v>
      </c>
      <c r="C139" s="24">
        <f>IFERROR(발주서!M139," ")</f>
        <v>0</v>
      </c>
      <c r="D139" s="24" t="str">
        <f>발주서!P139</f>
        <v> </v>
      </c>
      <c r="E139" s="25"/>
      <c r="F139" s="26"/>
    </row>
    <row r="140" spans="1:6" x14ac:dyDescent="0.25">
      <c r="A140" s="23">
        <v>139</v>
      </c>
      <c r="B140" s="24" t="str">
        <f>IFERROR(발주서!L140, " ")</f>
        <v>  </v>
      </c>
      <c r="C140" s="24">
        <f>IFERROR(발주서!M140," ")</f>
        <v>0</v>
      </c>
      <c r="D140" s="24" t="str">
        <f>발주서!P140</f>
        <v> </v>
      </c>
      <c r="E140" s="25"/>
      <c r="F140" s="26"/>
    </row>
    <row r="141" spans="1:6" x14ac:dyDescent="0.25">
      <c r="A141" s="23">
        <v>140</v>
      </c>
      <c r="B141" s="24" t="str">
        <f>IFERROR(발주서!L141, " ")</f>
        <v>  </v>
      </c>
      <c r="C141" s="24">
        <f>IFERROR(발주서!M141," ")</f>
        <v>0</v>
      </c>
      <c r="D141" s="24" t="str">
        <f>발주서!P141</f>
        <v> </v>
      </c>
      <c r="E141" s="25"/>
      <c r="F141" s="26"/>
    </row>
    <row r="142" spans="1:6" x14ac:dyDescent="0.25">
      <c r="A142" s="23">
        <v>141</v>
      </c>
      <c r="B142" s="24" t="str">
        <f>IFERROR(발주서!L142, " ")</f>
        <v>  </v>
      </c>
      <c r="C142" s="24">
        <f>IFERROR(발주서!M142," ")</f>
        <v>0</v>
      </c>
      <c r="D142" s="24" t="str">
        <f>발주서!P142</f>
        <v> </v>
      </c>
      <c r="E142" s="25"/>
      <c r="F142" s="26"/>
    </row>
    <row r="143" spans="1:6" x14ac:dyDescent="0.25">
      <c r="A143" s="23">
        <v>142</v>
      </c>
      <c r="B143" s="24" t="str">
        <f>IFERROR(발주서!L143, " ")</f>
        <v>  </v>
      </c>
      <c r="C143" s="24">
        <f>IFERROR(발주서!M143," ")</f>
        <v>0</v>
      </c>
      <c r="D143" s="24" t="str">
        <f>발주서!P143</f>
        <v> </v>
      </c>
      <c r="E143" s="25"/>
      <c r="F143" s="26"/>
    </row>
    <row r="144" spans="1:6" x14ac:dyDescent="0.25">
      <c r="A144" s="23">
        <v>143</v>
      </c>
      <c r="B144" s="24" t="str">
        <f>IFERROR(발주서!L144, " ")</f>
        <v>  </v>
      </c>
      <c r="C144" s="24">
        <f>IFERROR(발주서!M144," ")</f>
        <v>0</v>
      </c>
      <c r="D144" s="24" t="str">
        <f>발주서!P144</f>
        <v> </v>
      </c>
      <c r="E144" s="25"/>
      <c r="F144" s="26"/>
    </row>
    <row r="145" spans="1:6" x14ac:dyDescent="0.25">
      <c r="A145" s="23">
        <v>144</v>
      </c>
      <c r="B145" s="24" t="str">
        <f>IFERROR(발주서!L145, " ")</f>
        <v>  </v>
      </c>
      <c r="C145" s="24">
        <f>IFERROR(발주서!M145," ")</f>
        <v>0</v>
      </c>
      <c r="D145" s="24" t="str">
        <f>발주서!P145</f>
        <v> </v>
      </c>
      <c r="E145" s="25"/>
      <c r="F145" s="26"/>
    </row>
    <row r="146" spans="1:6" x14ac:dyDescent="0.25">
      <c r="A146" s="23">
        <v>145</v>
      </c>
      <c r="B146" s="24" t="str">
        <f>IFERROR(발주서!L146, " ")</f>
        <v>  </v>
      </c>
      <c r="C146" s="24">
        <f>IFERROR(발주서!M146," ")</f>
        <v>0</v>
      </c>
      <c r="D146" s="24" t="str">
        <f>발주서!P146</f>
        <v> </v>
      </c>
      <c r="E146" s="25"/>
      <c r="F146" s="26"/>
    </row>
    <row r="147" spans="1:6" x14ac:dyDescent="0.25">
      <c r="A147" s="23">
        <v>146</v>
      </c>
      <c r="B147" s="24" t="str">
        <f>IFERROR(발주서!L147, " ")</f>
        <v>  </v>
      </c>
      <c r="C147" s="24">
        <f>IFERROR(발주서!M147," ")</f>
        <v>0</v>
      </c>
      <c r="D147" s="24" t="str">
        <f>발주서!P147</f>
        <v> </v>
      </c>
      <c r="E147" s="25"/>
      <c r="F147" s="26"/>
    </row>
    <row r="148" spans="1:6" x14ac:dyDescent="0.25">
      <c r="A148" s="23">
        <v>147</v>
      </c>
      <c r="B148" s="24" t="str">
        <f>IFERROR(발주서!L148, " ")</f>
        <v>  </v>
      </c>
      <c r="C148" s="24">
        <f>IFERROR(발주서!M148," ")</f>
        <v>0</v>
      </c>
      <c r="D148" s="24" t="str">
        <f>발주서!P148</f>
        <v> </v>
      </c>
      <c r="E148" s="25"/>
      <c r="F148" s="26"/>
    </row>
    <row r="149" spans="1:6" x14ac:dyDescent="0.25">
      <c r="A149" s="23">
        <v>148</v>
      </c>
      <c r="B149" s="24" t="str">
        <f>IFERROR(발주서!L149, " ")</f>
        <v>  </v>
      </c>
      <c r="C149" s="24">
        <f>IFERROR(발주서!M149," ")</f>
        <v>0</v>
      </c>
      <c r="D149" s="24" t="str">
        <f>발주서!P149</f>
        <v> </v>
      </c>
      <c r="E149" s="25"/>
      <c r="F149" s="26"/>
    </row>
    <row r="150" spans="1:6" x14ac:dyDescent="0.25">
      <c r="A150" s="23">
        <v>149</v>
      </c>
      <c r="B150" s="24" t="str">
        <f>IFERROR(발주서!L150, " ")</f>
        <v>  </v>
      </c>
      <c r="C150" s="24">
        <f>IFERROR(발주서!M150," ")</f>
        <v>0</v>
      </c>
      <c r="D150" s="24" t="str">
        <f>발주서!P150</f>
        <v> </v>
      </c>
      <c r="E150" s="25"/>
      <c r="F150" s="26"/>
    </row>
    <row r="151" spans="1:6" x14ac:dyDescent="0.25">
      <c r="A151" s="23">
        <v>150</v>
      </c>
      <c r="B151" s="24" t="str">
        <f>IFERROR(발주서!L151, " ")</f>
        <v>  </v>
      </c>
      <c r="C151" s="24">
        <f>IFERROR(발주서!M151," ")</f>
        <v>0</v>
      </c>
      <c r="D151" s="24" t="str">
        <f>발주서!P151</f>
        <v> </v>
      </c>
      <c r="E151" s="25"/>
      <c r="F151" s="26"/>
    </row>
    <row r="152" spans="1:6" x14ac:dyDescent="0.25">
      <c r="A152" s="23">
        <v>151</v>
      </c>
      <c r="B152" s="24" t="str">
        <f>IFERROR(발주서!L152, " ")</f>
        <v>  </v>
      </c>
      <c r="C152" s="24">
        <f>IFERROR(발주서!M152," ")</f>
        <v>0</v>
      </c>
      <c r="D152" s="24" t="str">
        <f>발주서!P152</f>
        <v> </v>
      </c>
      <c r="E152" s="25"/>
      <c r="F152" s="26"/>
    </row>
    <row r="153" spans="1:6" x14ac:dyDescent="0.25">
      <c r="A153" s="23">
        <v>152</v>
      </c>
      <c r="B153" s="24" t="str">
        <f>IFERROR(발주서!L153, " ")</f>
        <v>  </v>
      </c>
      <c r="C153" s="24">
        <f>IFERROR(발주서!M153," ")</f>
        <v>0</v>
      </c>
      <c r="D153" s="24" t="str">
        <f>발주서!P153</f>
        <v> </v>
      </c>
      <c r="E153" s="25"/>
      <c r="F153" s="26"/>
    </row>
    <row r="154" spans="1:6" x14ac:dyDescent="0.25">
      <c r="A154" s="23">
        <v>153</v>
      </c>
      <c r="B154" s="24" t="str">
        <f>IFERROR(발주서!L154, " ")</f>
        <v>  </v>
      </c>
      <c r="C154" s="24">
        <f>IFERROR(발주서!M154," ")</f>
        <v>0</v>
      </c>
      <c r="D154" s="24" t="str">
        <f>발주서!P154</f>
        <v> </v>
      </c>
      <c r="E154" s="25"/>
      <c r="F154" s="26"/>
    </row>
    <row r="155" spans="1:6" x14ac:dyDescent="0.25">
      <c r="A155" s="23">
        <v>154</v>
      </c>
      <c r="B155" s="24" t="str">
        <f>IFERROR(발주서!L155, " ")</f>
        <v>  </v>
      </c>
      <c r="C155" s="24">
        <f>IFERROR(발주서!M155," ")</f>
        <v>0</v>
      </c>
      <c r="D155" s="24" t="str">
        <f>발주서!P155</f>
        <v> </v>
      </c>
      <c r="E155" s="25"/>
      <c r="F155" s="26"/>
    </row>
    <row r="156" spans="1:6" x14ac:dyDescent="0.25">
      <c r="A156" s="23">
        <v>155</v>
      </c>
      <c r="B156" s="24" t="str">
        <f>IFERROR(발주서!L156, " ")</f>
        <v>  </v>
      </c>
      <c r="C156" s="24">
        <f>IFERROR(발주서!M156," ")</f>
        <v>0</v>
      </c>
      <c r="D156" s="24" t="str">
        <f>발주서!P156</f>
        <v> </v>
      </c>
      <c r="E156" s="25"/>
      <c r="F156" s="26"/>
    </row>
    <row r="157" spans="1:6" x14ac:dyDescent="0.25">
      <c r="A157" s="23">
        <v>156</v>
      </c>
      <c r="B157" s="24" t="str">
        <f>IFERROR(발주서!L157, " ")</f>
        <v>  </v>
      </c>
      <c r="C157" s="24">
        <f>IFERROR(발주서!M157," ")</f>
        <v>0</v>
      </c>
      <c r="D157" s="24" t="str">
        <f>발주서!P157</f>
        <v> </v>
      </c>
      <c r="E157" s="25"/>
      <c r="F157" s="26"/>
    </row>
    <row r="158" spans="1:6" x14ac:dyDescent="0.25">
      <c r="A158" s="23">
        <v>157</v>
      </c>
      <c r="B158" s="24" t="str">
        <f>IFERROR(발주서!L158, " ")</f>
        <v>  </v>
      </c>
      <c r="C158" s="24">
        <f>IFERROR(발주서!M158," ")</f>
        <v>0</v>
      </c>
      <c r="D158" s="24" t="str">
        <f>발주서!P158</f>
        <v> </v>
      </c>
      <c r="E158" s="25"/>
      <c r="F158" s="26"/>
    </row>
    <row r="159" spans="1:6" x14ac:dyDescent="0.25">
      <c r="A159" s="23">
        <v>158</v>
      </c>
      <c r="B159" s="24" t="str">
        <f>IFERROR(발주서!L159, " ")</f>
        <v>  </v>
      </c>
      <c r="C159" s="24">
        <f>IFERROR(발주서!M159," ")</f>
        <v>0</v>
      </c>
      <c r="D159" s="24" t="str">
        <f>발주서!P159</f>
        <v> </v>
      </c>
      <c r="E159" s="25"/>
      <c r="F159" s="26"/>
    </row>
    <row r="160" spans="1:6" x14ac:dyDescent="0.25">
      <c r="A160" s="23">
        <v>159</v>
      </c>
      <c r="B160" s="24" t="str">
        <f>IFERROR(발주서!L160, " ")</f>
        <v>  </v>
      </c>
      <c r="C160" s="24">
        <f>IFERROR(발주서!M160," ")</f>
        <v>0</v>
      </c>
      <c r="D160" s="24" t="str">
        <f>발주서!P160</f>
        <v> </v>
      </c>
      <c r="E160" s="25"/>
      <c r="F160" s="26"/>
    </row>
    <row r="161" spans="1:6" x14ac:dyDescent="0.25">
      <c r="A161" s="23">
        <v>160</v>
      </c>
      <c r="B161" s="24" t="str">
        <f>IFERROR(발주서!L161, " ")</f>
        <v>  </v>
      </c>
      <c r="C161" s="24">
        <f>IFERROR(발주서!M161," ")</f>
        <v>0</v>
      </c>
      <c r="D161" s="24" t="str">
        <f>발주서!P161</f>
        <v> </v>
      </c>
      <c r="E161" s="25"/>
      <c r="F161" s="26"/>
    </row>
    <row r="162" spans="1:6" x14ac:dyDescent="0.25">
      <c r="A162" s="23">
        <v>161</v>
      </c>
      <c r="B162" s="24" t="str">
        <f>IFERROR(발주서!L162, " ")</f>
        <v>  </v>
      </c>
      <c r="C162" s="24">
        <f>IFERROR(발주서!M162," ")</f>
        <v>0</v>
      </c>
      <c r="D162" s="24" t="str">
        <f>발주서!P162</f>
        <v> </v>
      </c>
      <c r="E162" s="25"/>
      <c r="F162" s="26"/>
    </row>
    <row r="163" spans="1:6" x14ac:dyDescent="0.25">
      <c r="A163" s="23">
        <v>162</v>
      </c>
      <c r="B163" s="24" t="str">
        <f>IFERROR(발주서!L163, " ")</f>
        <v>  </v>
      </c>
      <c r="C163" s="24">
        <f>IFERROR(발주서!M163," ")</f>
        <v>0</v>
      </c>
      <c r="D163" s="24" t="str">
        <f>발주서!P163</f>
        <v> </v>
      </c>
      <c r="E163" s="25"/>
      <c r="F163" s="26"/>
    </row>
    <row r="164" spans="1:6" x14ac:dyDescent="0.25">
      <c r="A164" s="23">
        <v>163</v>
      </c>
      <c r="B164" s="24" t="str">
        <f>IFERROR(발주서!L164, " ")</f>
        <v>  </v>
      </c>
      <c r="C164" s="24">
        <f>IFERROR(발주서!M164," ")</f>
        <v>0</v>
      </c>
      <c r="D164" s="24" t="str">
        <f>발주서!P164</f>
        <v> </v>
      </c>
      <c r="E164" s="25"/>
      <c r="F164" s="26"/>
    </row>
    <row r="165" spans="1:6" x14ac:dyDescent="0.25">
      <c r="A165" s="23">
        <v>164</v>
      </c>
      <c r="B165" s="24" t="str">
        <f>IFERROR(발주서!L165, " ")</f>
        <v>  </v>
      </c>
      <c r="C165" s="24">
        <f>IFERROR(발주서!M165," ")</f>
        <v>0</v>
      </c>
      <c r="D165" s="24" t="str">
        <f>발주서!P165</f>
        <v> </v>
      </c>
      <c r="E165" s="25"/>
      <c r="F165" s="26"/>
    </row>
    <row r="166" spans="1:6" x14ac:dyDescent="0.25">
      <c r="A166" s="23">
        <v>165</v>
      </c>
      <c r="B166" s="24" t="str">
        <f>IFERROR(발주서!L166, " ")</f>
        <v>  </v>
      </c>
      <c r="C166" s="24">
        <f>IFERROR(발주서!M166," ")</f>
        <v>0</v>
      </c>
      <c r="D166" s="24" t="str">
        <f>발주서!P166</f>
        <v> </v>
      </c>
      <c r="E166" s="25"/>
      <c r="F166" s="26"/>
    </row>
    <row r="167" spans="1:6" x14ac:dyDescent="0.25">
      <c r="A167" s="23">
        <v>166</v>
      </c>
      <c r="B167" s="24" t="str">
        <f>IFERROR(발주서!L167, " ")</f>
        <v>  </v>
      </c>
      <c r="C167" s="24">
        <f>IFERROR(발주서!M167," ")</f>
        <v>0</v>
      </c>
      <c r="D167" s="24" t="str">
        <f>발주서!P167</f>
        <v> </v>
      </c>
      <c r="E167" s="25"/>
      <c r="F167" s="26"/>
    </row>
    <row r="168" spans="1:6" x14ac:dyDescent="0.25">
      <c r="A168" s="23">
        <v>167</v>
      </c>
      <c r="B168" s="24" t="str">
        <f>IFERROR(발주서!L168, " ")</f>
        <v>  </v>
      </c>
      <c r="C168" s="24">
        <f>IFERROR(발주서!M168," ")</f>
        <v>0</v>
      </c>
      <c r="D168" s="24" t="str">
        <f>발주서!P168</f>
        <v> </v>
      </c>
      <c r="E168" s="25"/>
      <c r="F168" s="26"/>
    </row>
    <row r="169" spans="1:6" x14ac:dyDescent="0.25">
      <c r="A169" s="23">
        <v>168</v>
      </c>
      <c r="B169" s="24" t="str">
        <f>IFERROR(발주서!L169, " ")</f>
        <v>  </v>
      </c>
      <c r="C169" s="24">
        <f>IFERROR(발주서!M169," ")</f>
        <v>0</v>
      </c>
      <c r="D169" s="24" t="str">
        <f>발주서!P169</f>
        <v> </v>
      </c>
      <c r="E169" s="25"/>
      <c r="F169" s="26"/>
    </row>
    <row r="170" spans="1:6" x14ac:dyDescent="0.25">
      <c r="A170" s="23">
        <v>169</v>
      </c>
      <c r="B170" s="24" t="str">
        <f>IFERROR(발주서!L170, " ")</f>
        <v>  </v>
      </c>
      <c r="C170" s="24">
        <f>IFERROR(발주서!M170," ")</f>
        <v>0</v>
      </c>
      <c r="D170" s="24" t="str">
        <f>발주서!P170</f>
        <v> </v>
      </c>
      <c r="E170" s="25"/>
      <c r="F170" s="26"/>
    </row>
    <row r="171" spans="1:6" x14ac:dyDescent="0.25">
      <c r="A171" s="23">
        <v>170</v>
      </c>
      <c r="B171" s="24" t="str">
        <f>IFERROR(발주서!L171, " ")</f>
        <v>  </v>
      </c>
      <c r="C171" s="24">
        <f>IFERROR(발주서!M171," ")</f>
        <v>0</v>
      </c>
      <c r="D171" s="24" t="str">
        <f>발주서!P171</f>
        <v> </v>
      </c>
      <c r="E171" s="25"/>
      <c r="F171" s="26"/>
    </row>
    <row r="172" spans="1:6" x14ac:dyDescent="0.25">
      <c r="A172" s="23">
        <v>171</v>
      </c>
      <c r="B172" s="24" t="str">
        <f>IFERROR(발주서!L172, " ")</f>
        <v>  </v>
      </c>
      <c r="C172" s="24">
        <f>IFERROR(발주서!M172," ")</f>
        <v>0</v>
      </c>
      <c r="D172" s="24" t="str">
        <f>발주서!P172</f>
        <v> </v>
      </c>
      <c r="E172" s="25"/>
      <c r="F172" s="26"/>
    </row>
    <row r="173" spans="1:6" x14ac:dyDescent="0.25">
      <c r="A173" s="23">
        <v>172</v>
      </c>
      <c r="B173" s="24" t="str">
        <f>IFERROR(발주서!L173, " ")</f>
        <v>  </v>
      </c>
      <c r="C173" s="24">
        <f>IFERROR(발주서!M173," ")</f>
        <v>0</v>
      </c>
      <c r="D173" s="24" t="str">
        <f>발주서!P173</f>
        <v> </v>
      </c>
      <c r="E173" s="25"/>
      <c r="F173" s="26"/>
    </row>
    <row r="174" spans="1:6" x14ac:dyDescent="0.25">
      <c r="A174" s="23">
        <v>173</v>
      </c>
      <c r="B174" s="24" t="str">
        <f>IFERROR(발주서!L174, " ")</f>
        <v>  </v>
      </c>
      <c r="C174" s="24">
        <f>IFERROR(발주서!M174," ")</f>
        <v>0</v>
      </c>
      <c r="D174" s="24" t="str">
        <f>발주서!P174</f>
        <v> </v>
      </c>
      <c r="E174" s="25"/>
      <c r="F174" s="26"/>
    </row>
    <row r="175" spans="1:6" x14ac:dyDescent="0.25">
      <c r="A175" s="23">
        <v>174</v>
      </c>
      <c r="B175" s="24" t="str">
        <f>IFERROR(발주서!L175, " ")</f>
        <v>  </v>
      </c>
      <c r="C175" s="24">
        <f>IFERROR(발주서!M175," ")</f>
        <v>0</v>
      </c>
      <c r="D175" s="24" t="str">
        <f>발주서!P175</f>
        <v> </v>
      </c>
      <c r="E175" s="25"/>
      <c r="F175" s="26"/>
    </row>
    <row r="176" spans="1:6" x14ac:dyDescent="0.25">
      <c r="A176" s="23">
        <v>175</v>
      </c>
      <c r="B176" s="24" t="str">
        <f>IFERROR(발주서!L176, " ")</f>
        <v>  </v>
      </c>
      <c r="C176" s="24">
        <f>IFERROR(발주서!M176," ")</f>
        <v>0</v>
      </c>
      <c r="D176" s="24" t="str">
        <f>발주서!P176</f>
        <v> </v>
      </c>
      <c r="E176" s="25"/>
      <c r="F176" s="26"/>
    </row>
    <row r="177" spans="1:6" x14ac:dyDescent="0.25">
      <c r="A177" s="23">
        <v>176</v>
      </c>
      <c r="B177" s="24" t="str">
        <f>IFERROR(발주서!L177, " ")</f>
        <v>  </v>
      </c>
      <c r="C177" s="24">
        <f>IFERROR(발주서!M177," ")</f>
        <v>0</v>
      </c>
      <c r="D177" s="24" t="str">
        <f>발주서!P177</f>
        <v> </v>
      </c>
      <c r="E177" s="25"/>
      <c r="F177" s="26"/>
    </row>
    <row r="178" spans="1:6" x14ac:dyDescent="0.25">
      <c r="A178" s="23">
        <v>177</v>
      </c>
      <c r="B178" s="24" t="str">
        <f>IFERROR(발주서!L178, " ")</f>
        <v>  </v>
      </c>
      <c r="C178" s="24">
        <f>IFERROR(발주서!M178," ")</f>
        <v>0</v>
      </c>
      <c r="D178" s="24" t="str">
        <f>발주서!P178</f>
        <v> </v>
      </c>
      <c r="E178" s="25"/>
      <c r="F178" s="26"/>
    </row>
    <row r="179" spans="1:6" x14ac:dyDescent="0.25">
      <c r="A179" s="23">
        <v>178</v>
      </c>
      <c r="B179" s="24" t="str">
        <f>IFERROR(발주서!L179, " ")</f>
        <v>  </v>
      </c>
      <c r="C179" s="24">
        <f>IFERROR(발주서!M179," ")</f>
        <v>0</v>
      </c>
      <c r="D179" s="24" t="str">
        <f>발주서!P179</f>
        <v> </v>
      </c>
      <c r="E179" s="25"/>
      <c r="F179" s="26"/>
    </row>
    <row r="180" spans="1:6" x14ac:dyDescent="0.25">
      <c r="A180" s="23">
        <v>179</v>
      </c>
      <c r="B180" s="24" t="str">
        <f>IFERROR(발주서!L180, " ")</f>
        <v>  </v>
      </c>
      <c r="C180" s="24">
        <f>IFERROR(발주서!M180," ")</f>
        <v>0</v>
      </c>
      <c r="D180" s="24" t="str">
        <f>발주서!P180</f>
        <v> </v>
      </c>
      <c r="E180" s="25"/>
      <c r="F180" s="26"/>
    </row>
    <row r="181" spans="1:6" x14ac:dyDescent="0.25">
      <c r="A181" s="23">
        <v>180</v>
      </c>
      <c r="B181" s="24" t="str">
        <f>IFERROR(발주서!L181, " ")</f>
        <v>  </v>
      </c>
      <c r="C181" s="24">
        <f>IFERROR(발주서!M181," ")</f>
        <v>0</v>
      </c>
      <c r="D181" s="24" t="str">
        <f>발주서!P181</f>
        <v> </v>
      </c>
      <c r="E181" s="25"/>
      <c r="F181" s="26"/>
    </row>
    <row r="182" spans="1:6" x14ac:dyDescent="0.25">
      <c r="A182" s="23">
        <v>181</v>
      </c>
      <c r="B182" s="24" t="str">
        <f>IFERROR(발주서!L182, " ")</f>
        <v>  </v>
      </c>
      <c r="C182" s="24">
        <f>IFERROR(발주서!M182," ")</f>
        <v>0</v>
      </c>
      <c r="D182" s="24" t="str">
        <f>발주서!P182</f>
        <v> </v>
      </c>
      <c r="E182" s="25"/>
      <c r="F182" s="26"/>
    </row>
    <row r="183" spans="1:6" x14ac:dyDescent="0.25">
      <c r="A183" s="23">
        <v>182</v>
      </c>
      <c r="B183" s="24" t="str">
        <f>IFERROR(발주서!L183, " ")</f>
        <v>  </v>
      </c>
      <c r="C183" s="24">
        <f>IFERROR(발주서!M183," ")</f>
        <v>0</v>
      </c>
      <c r="D183" s="24" t="str">
        <f>발주서!P183</f>
        <v> </v>
      </c>
      <c r="E183" s="25"/>
      <c r="F183" s="26"/>
    </row>
    <row r="184" spans="1:6" x14ac:dyDescent="0.25">
      <c r="A184" s="23">
        <v>183</v>
      </c>
      <c r="B184" s="24" t="str">
        <f>IFERROR(발주서!L184, " ")</f>
        <v>  </v>
      </c>
      <c r="C184" s="24">
        <f>IFERROR(발주서!M184," ")</f>
        <v>0</v>
      </c>
      <c r="D184" s="24" t="str">
        <f>발주서!P184</f>
        <v> </v>
      </c>
      <c r="E184" s="25"/>
      <c r="F184" s="26"/>
    </row>
    <row r="185" spans="1:6" x14ac:dyDescent="0.25">
      <c r="A185" s="23">
        <v>184</v>
      </c>
      <c r="B185" s="24" t="str">
        <f>IFERROR(발주서!L185, " ")</f>
        <v>  </v>
      </c>
      <c r="C185" s="24">
        <f>IFERROR(발주서!M185," ")</f>
        <v>0</v>
      </c>
      <c r="D185" s="24" t="str">
        <f>발주서!P185</f>
        <v> </v>
      </c>
      <c r="E185" s="25"/>
      <c r="F185" s="26"/>
    </row>
    <row r="186" spans="1:6" x14ac:dyDescent="0.25">
      <c r="A186" s="23">
        <v>185</v>
      </c>
      <c r="B186" s="24" t="str">
        <f>IFERROR(발주서!L186, " ")</f>
        <v>  </v>
      </c>
      <c r="C186" s="24">
        <f>IFERROR(발주서!M186," ")</f>
        <v>0</v>
      </c>
      <c r="D186" s="24" t="str">
        <f>발주서!P186</f>
        <v> </v>
      </c>
      <c r="E186" s="25"/>
      <c r="F186" s="26"/>
    </row>
    <row r="187" spans="1:6" x14ac:dyDescent="0.25">
      <c r="A187" s="23">
        <v>186</v>
      </c>
      <c r="B187" s="24" t="str">
        <f>IFERROR(발주서!L187, " ")</f>
        <v>  </v>
      </c>
      <c r="C187" s="24">
        <f>IFERROR(발주서!M187," ")</f>
        <v>0</v>
      </c>
      <c r="D187" s="24" t="str">
        <f>발주서!P187</f>
        <v> </v>
      </c>
      <c r="E187" s="25"/>
      <c r="F187" s="26"/>
    </row>
    <row r="188" spans="1:6" x14ac:dyDescent="0.25">
      <c r="A188" s="23">
        <v>187</v>
      </c>
      <c r="B188" s="24" t="str">
        <f>IFERROR(발주서!L188, " ")</f>
        <v>  </v>
      </c>
      <c r="C188" s="24">
        <f>IFERROR(발주서!M188," ")</f>
        <v>0</v>
      </c>
      <c r="D188" s="24" t="str">
        <f>발주서!P188</f>
        <v> </v>
      </c>
      <c r="E188" s="25"/>
      <c r="F188" s="26"/>
    </row>
    <row r="189" spans="1:6" x14ac:dyDescent="0.25">
      <c r="A189" s="23">
        <v>188</v>
      </c>
      <c r="B189" s="24" t="str">
        <f>IFERROR(발주서!L189, " ")</f>
        <v>  </v>
      </c>
      <c r="C189" s="24">
        <f>IFERROR(발주서!M189," ")</f>
        <v>0</v>
      </c>
      <c r="D189" s="24" t="str">
        <f>발주서!P189</f>
        <v> </v>
      </c>
      <c r="E189" s="25"/>
      <c r="F189" s="26"/>
    </row>
    <row r="190" spans="1:6" x14ac:dyDescent="0.25">
      <c r="A190" s="23">
        <v>189</v>
      </c>
      <c r="B190" s="24" t="str">
        <f>IFERROR(발주서!L190, " ")</f>
        <v>  </v>
      </c>
      <c r="C190" s="24">
        <f>IFERROR(발주서!M190," ")</f>
        <v>0</v>
      </c>
      <c r="D190" s="24" t="str">
        <f>발주서!P190</f>
        <v> </v>
      </c>
      <c r="E190" s="25"/>
      <c r="F190" s="26"/>
    </row>
    <row r="191" spans="1:6" x14ac:dyDescent="0.25">
      <c r="A191" s="23">
        <v>190</v>
      </c>
      <c r="B191" s="24" t="str">
        <f>IFERROR(발주서!L191, " ")</f>
        <v>  </v>
      </c>
      <c r="C191" s="24">
        <f>IFERROR(발주서!M191," ")</f>
        <v>0</v>
      </c>
      <c r="D191" s="24" t="str">
        <f>발주서!P191</f>
        <v> </v>
      </c>
      <c r="E191" s="25"/>
      <c r="F191" s="26"/>
    </row>
    <row r="192" spans="1:6" x14ac:dyDescent="0.25">
      <c r="A192" s="23">
        <v>191</v>
      </c>
      <c r="B192" s="24" t="str">
        <f>IFERROR(발주서!L192, " ")</f>
        <v>  </v>
      </c>
      <c r="C192" s="24">
        <f>IFERROR(발주서!M192," ")</f>
        <v>0</v>
      </c>
      <c r="D192" s="24" t="str">
        <f>발주서!P192</f>
        <v> </v>
      </c>
      <c r="E192" s="25"/>
      <c r="F192" s="26"/>
    </row>
    <row r="193" spans="1:6" x14ac:dyDescent="0.25">
      <c r="A193" s="23">
        <v>192</v>
      </c>
      <c r="B193" s="24" t="str">
        <f>IFERROR(발주서!L193, " ")</f>
        <v>  </v>
      </c>
      <c r="C193" s="24">
        <f>IFERROR(발주서!M193," ")</f>
        <v>0</v>
      </c>
      <c r="D193" s="24" t="str">
        <f>발주서!P193</f>
        <v> </v>
      </c>
      <c r="E193" s="25"/>
      <c r="F193" s="26"/>
    </row>
    <row r="194" spans="1:6" x14ac:dyDescent="0.25">
      <c r="A194" s="23">
        <v>193</v>
      </c>
      <c r="B194" s="24" t="str">
        <f>IFERROR(발주서!L194, " ")</f>
        <v>  </v>
      </c>
      <c r="C194" s="24">
        <f>IFERROR(발주서!M194," ")</f>
        <v>0</v>
      </c>
      <c r="D194" s="24" t="str">
        <f>발주서!P194</f>
        <v> </v>
      </c>
      <c r="E194" s="25"/>
      <c r="F194" s="26"/>
    </row>
    <row r="195" spans="1:6" x14ac:dyDescent="0.25">
      <c r="A195" s="23">
        <v>194</v>
      </c>
      <c r="B195" s="24" t="str">
        <f>IFERROR(발주서!L195, " ")</f>
        <v>  </v>
      </c>
      <c r="C195" s="24">
        <f>IFERROR(발주서!M195," ")</f>
        <v>0</v>
      </c>
      <c r="D195" s="24" t="str">
        <f>발주서!P195</f>
        <v> </v>
      </c>
      <c r="E195" s="25"/>
      <c r="F195" s="26"/>
    </row>
    <row r="196" spans="1:6" x14ac:dyDescent="0.25">
      <c r="A196" s="23">
        <v>195</v>
      </c>
      <c r="B196" s="24" t="str">
        <f>IFERROR(발주서!L196, " ")</f>
        <v>  </v>
      </c>
      <c r="C196" s="24">
        <f>IFERROR(발주서!M196," ")</f>
        <v>0</v>
      </c>
      <c r="D196" s="24" t="str">
        <f>발주서!P196</f>
        <v> </v>
      </c>
      <c r="E196" s="25"/>
      <c r="F196" s="26"/>
    </row>
    <row r="197" spans="1:6" x14ac:dyDescent="0.25">
      <c r="A197" s="23">
        <v>196</v>
      </c>
      <c r="B197" s="24" t="str">
        <f>IFERROR(발주서!L197, " ")</f>
        <v>  </v>
      </c>
      <c r="C197" s="24">
        <f>IFERROR(발주서!M197," ")</f>
        <v>0</v>
      </c>
      <c r="D197" s="24" t="str">
        <f>발주서!P197</f>
        <v> </v>
      </c>
      <c r="E197" s="25"/>
      <c r="F197" s="26"/>
    </row>
    <row r="198" spans="1:6" x14ac:dyDescent="0.25">
      <c r="A198" s="23">
        <v>197</v>
      </c>
      <c r="B198" s="24" t="str">
        <f>IFERROR(발주서!L198, " ")</f>
        <v>  </v>
      </c>
      <c r="C198" s="24">
        <f>IFERROR(발주서!M198," ")</f>
        <v>0</v>
      </c>
      <c r="D198" s="24" t="str">
        <f>발주서!P198</f>
        <v> </v>
      </c>
      <c r="E198" s="25"/>
      <c r="F198" s="26"/>
    </row>
    <row r="199" spans="1:6" x14ac:dyDescent="0.25">
      <c r="A199" s="23">
        <v>198</v>
      </c>
      <c r="B199" s="24" t="str">
        <f>IFERROR(발주서!L199, " ")</f>
        <v>  </v>
      </c>
      <c r="C199" s="24">
        <f>IFERROR(발주서!M199," ")</f>
        <v>0</v>
      </c>
      <c r="D199" s="24" t="str">
        <f>발주서!P199</f>
        <v> </v>
      </c>
      <c r="E199" s="25"/>
      <c r="F199" s="26"/>
    </row>
    <row r="200" spans="1:6" x14ac:dyDescent="0.25">
      <c r="A200" s="23">
        <v>199</v>
      </c>
      <c r="B200" s="24" t="str">
        <f>IFERROR(발주서!L200, " ")</f>
        <v>  </v>
      </c>
      <c r="C200" s="24">
        <f>IFERROR(발주서!M200," ")</f>
        <v>0</v>
      </c>
      <c r="D200" s="24" t="str">
        <f>발주서!P200</f>
        <v> </v>
      </c>
      <c r="E200" s="25"/>
      <c r="F200" s="26"/>
    </row>
    <row r="201" spans="1:6" x14ac:dyDescent="0.25">
      <c r="A201" s="23">
        <v>200</v>
      </c>
      <c r="B201" s="24" t="str">
        <f>IFERROR(발주서!L201, " ")</f>
        <v>  </v>
      </c>
      <c r="C201" s="24">
        <f>IFERROR(발주서!M201," ")</f>
        <v>0</v>
      </c>
      <c r="D201" s="24" t="str">
        <f>발주서!P201</f>
        <v> </v>
      </c>
      <c r="E201" s="25"/>
      <c r="F201" s="26"/>
    </row>
    <row r="202" spans="1:6" x14ac:dyDescent="0.25">
      <c r="A202" s="23">
        <v>201</v>
      </c>
      <c r="B202" s="24" t="str">
        <f>IFERROR(발주서!L202, " ")</f>
        <v>  </v>
      </c>
      <c r="C202" s="24">
        <f>IFERROR(발주서!M202," ")</f>
        <v>0</v>
      </c>
      <c r="D202" s="24" t="str">
        <f>발주서!P202</f>
        <v> </v>
      </c>
      <c r="E202" s="25"/>
      <c r="F202" s="26"/>
    </row>
    <row r="203" spans="1:6" x14ac:dyDescent="0.25">
      <c r="A203" s="23">
        <v>202</v>
      </c>
      <c r="B203" s="24" t="str">
        <f>IFERROR(발주서!L203, " ")</f>
        <v>  </v>
      </c>
      <c r="C203" s="24">
        <f>IFERROR(발주서!M203," ")</f>
        <v>0</v>
      </c>
      <c r="D203" s="24" t="str">
        <f>발주서!P203</f>
        <v> </v>
      </c>
      <c r="E203" s="25"/>
      <c r="F203" s="26"/>
    </row>
    <row r="204" spans="1:6" x14ac:dyDescent="0.25">
      <c r="A204" s="23">
        <v>203</v>
      </c>
      <c r="B204" s="24" t="str">
        <f>IFERROR(발주서!L204, " ")</f>
        <v>  </v>
      </c>
      <c r="C204" s="24">
        <f>IFERROR(발주서!M204," ")</f>
        <v>0</v>
      </c>
      <c r="D204" s="24" t="str">
        <f>발주서!P204</f>
        <v> </v>
      </c>
      <c r="E204" s="25"/>
      <c r="F204" s="26"/>
    </row>
    <row r="205" spans="1:6" x14ac:dyDescent="0.25">
      <c r="A205" s="23">
        <v>204</v>
      </c>
      <c r="B205" s="24" t="str">
        <f>IFERROR(발주서!L205, " ")</f>
        <v>  </v>
      </c>
      <c r="C205" s="24">
        <f>IFERROR(발주서!M205," ")</f>
        <v>0</v>
      </c>
      <c r="D205" s="24" t="str">
        <f>발주서!P205</f>
        <v> </v>
      </c>
      <c r="E205" s="25"/>
      <c r="F205" s="26"/>
    </row>
    <row r="206" spans="1:6" x14ac:dyDescent="0.25">
      <c r="A206" s="23">
        <v>205</v>
      </c>
      <c r="B206" s="24" t="str">
        <f>IFERROR(발주서!L206, " ")</f>
        <v>  </v>
      </c>
      <c r="C206" s="24">
        <f>IFERROR(발주서!M206," ")</f>
        <v>0</v>
      </c>
      <c r="D206" s="24" t="str">
        <f>발주서!P206</f>
        <v> </v>
      </c>
      <c r="E206" s="25"/>
      <c r="F206" s="26"/>
    </row>
    <row r="207" spans="1:6" x14ac:dyDescent="0.25">
      <c r="A207" s="23">
        <v>206</v>
      </c>
      <c r="B207" s="24" t="str">
        <f>IFERROR(발주서!L207, " ")</f>
        <v>  </v>
      </c>
      <c r="C207" s="24">
        <f>IFERROR(발주서!M207," ")</f>
        <v>0</v>
      </c>
      <c r="D207" s="24" t="str">
        <f>발주서!P207</f>
        <v> </v>
      </c>
      <c r="E207" s="25"/>
      <c r="F207" s="26"/>
    </row>
    <row r="208" spans="1:6" x14ac:dyDescent="0.25">
      <c r="A208" s="23">
        <v>207</v>
      </c>
      <c r="B208" s="24" t="str">
        <f>IFERROR(발주서!L208, " ")</f>
        <v>  </v>
      </c>
      <c r="C208" s="24">
        <f>IFERROR(발주서!M208," ")</f>
        <v>0</v>
      </c>
      <c r="D208" s="24" t="str">
        <f>발주서!P208</f>
        <v> </v>
      </c>
      <c r="E208" s="25"/>
      <c r="F208" s="26"/>
    </row>
    <row r="209" spans="1:6" x14ac:dyDescent="0.25">
      <c r="A209" s="23">
        <v>208</v>
      </c>
      <c r="B209" s="24" t="str">
        <f>IFERROR(발주서!L209, " ")</f>
        <v>  </v>
      </c>
      <c r="C209" s="24">
        <f>IFERROR(발주서!M209," ")</f>
        <v>0</v>
      </c>
      <c r="D209" s="24" t="str">
        <f>발주서!P209</f>
        <v> </v>
      </c>
      <c r="E209" s="25"/>
      <c r="F209" s="26"/>
    </row>
    <row r="210" spans="1:6" x14ac:dyDescent="0.25">
      <c r="A210" s="23">
        <v>209</v>
      </c>
      <c r="B210" s="24" t="str">
        <f>IFERROR(발주서!L210, " ")</f>
        <v>  </v>
      </c>
      <c r="C210" s="24">
        <f>IFERROR(발주서!M210," ")</f>
        <v>0</v>
      </c>
      <c r="D210" s="24" t="str">
        <f>발주서!P210</f>
        <v> </v>
      </c>
      <c r="E210" s="25"/>
      <c r="F210" s="26"/>
    </row>
    <row r="211" spans="1:6" x14ac:dyDescent="0.25">
      <c r="A211" s="23">
        <v>210</v>
      </c>
      <c r="B211" s="24" t="str">
        <f>IFERROR(발주서!L211, " ")</f>
        <v>  </v>
      </c>
      <c r="C211" s="24">
        <f>IFERROR(발주서!M211," ")</f>
        <v>0</v>
      </c>
      <c r="D211" s="24" t="str">
        <f>발주서!P211</f>
        <v> </v>
      </c>
      <c r="E211" s="25"/>
      <c r="F211" s="26"/>
    </row>
    <row r="212" spans="1:6" x14ac:dyDescent="0.25">
      <c r="A212" s="23">
        <v>211</v>
      </c>
      <c r="B212" s="24" t="str">
        <f>IFERROR(발주서!L212, " ")</f>
        <v>  </v>
      </c>
      <c r="C212" s="24">
        <f>IFERROR(발주서!M212," ")</f>
        <v>0</v>
      </c>
      <c r="D212" s="24" t="str">
        <f>발주서!P212</f>
        <v> </v>
      </c>
      <c r="E212" s="25"/>
      <c r="F212" s="26"/>
    </row>
    <row r="213" spans="1:6" x14ac:dyDescent="0.25">
      <c r="A213" s="23">
        <v>212</v>
      </c>
      <c r="B213" s="24" t="str">
        <f>IFERROR(발주서!L213, " ")</f>
        <v>  </v>
      </c>
      <c r="C213" s="24">
        <f>IFERROR(발주서!M213," ")</f>
        <v>0</v>
      </c>
      <c r="D213" s="24" t="str">
        <f>발주서!P213</f>
        <v> </v>
      </c>
      <c r="E213" s="25"/>
      <c r="F213" s="26"/>
    </row>
    <row r="214" spans="1:6" x14ac:dyDescent="0.25">
      <c r="A214" s="23">
        <v>213</v>
      </c>
      <c r="B214" s="24" t="str">
        <f>IFERROR(발주서!L214, " ")</f>
        <v>  </v>
      </c>
      <c r="C214" s="24">
        <f>IFERROR(발주서!M214," ")</f>
        <v>0</v>
      </c>
      <c r="D214" s="24" t="str">
        <f>발주서!P214</f>
        <v> </v>
      </c>
      <c r="E214" s="25"/>
      <c r="F214" s="26"/>
    </row>
    <row r="215" spans="1:6" x14ac:dyDescent="0.25">
      <c r="A215" s="23">
        <v>214</v>
      </c>
      <c r="B215" s="24" t="str">
        <f>IFERROR(발주서!L215, " ")</f>
        <v>  </v>
      </c>
      <c r="C215" s="24">
        <f>IFERROR(발주서!M215," ")</f>
        <v>0</v>
      </c>
      <c r="D215" s="24" t="str">
        <f>발주서!P215</f>
        <v> </v>
      </c>
      <c r="E215" s="25"/>
      <c r="F215" s="26"/>
    </row>
    <row r="216" spans="1:6" x14ac:dyDescent="0.25">
      <c r="A216" s="23">
        <v>215</v>
      </c>
      <c r="B216" s="24" t="str">
        <f>IFERROR(발주서!L216, " ")</f>
        <v>  </v>
      </c>
      <c r="C216" s="24">
        <f>IFERROR(발주서!M216," ")</f>
        <v>0</v>
      </c>
      <c r="D216" s="24" t="str">
        <f>발주서!P216</f>
        <v> </v>
      </c>
      <c r="E216" s="25"/>
      <c r="F216" s="26"/>
    </row>
    <row r="217" spans="1:6" x14ac:dyDescent="0.25">
      <c r="A217" s="23">
        <v>216</v>
      </c>
      <c r="B217" s="24" t="str">
        <f>IFERROR(발주서!L217, " ")</f>
        <v>  </v>
      </c>
      <c r="C217" s="24">
        <f>IFERROR(발주서!M217," ")</f>
        <v>0</v>
      </c>
      <c r="D217" s="24" t="str">
        <f>발주서!P217</f>
        <v> </v>
      </c>
      <c r="E217" s="25"/>
      <c r="F217" s="26"/>
    </row>
    <row r="218" spans="1:6" x14ac:dyDescent="0.25">
      <c r="A218" s="23">
        <v>217</v>
      </c>
      <c r="B218" s="24" t="str">
        <f>IFERROR(발주서!L218, " ")</f>
        <v>  </v>
      </c>
      <c r="C218" s="24">
        <f>IFERROR(발주서!M218," ")</f>
        <v>0</v>
      </c>
      <c r="D218" s="24" t="str">
        <f>발주서!P218</f>
        <v> </v>
      </c>
      <c r="E218" s="25"/>
      <c r="F218" s="26"/>
    </row>
    <row r="219" spans="1:6" x14ac:dyDescent="0.25">
      <c r="A219" s="23">
        <v>218</v>
      </c>
      <c r="B219" s="24" t="str">
        <f>IFERROR(발주서!L219, " ")</f>
        <v>  </v>
      </c>
      <c r="C219" s="24">
        <f>IFERROR(발주서!M219," ")</f>
        <v>0</v>
      </c>
      <c r="D219" s="24" t="str">
        <f>발주서!P219</f>
        <v> </v>
      </c>
      <c r="E219" s="25"/>
      <c r="F219" s="26"/>
    </row>
    <row r="220" spans="1:6" x14ac:dyDescent="0.25">
      <c r="A220" s="23">
        <v>219</v>
      </c>
      <c r="B220" s="24" t="str">
        <f>IFERROR(발주서!L220, " ")</f>
        <v>  </v>
      </c>
      <c r="C220" s="24">
        <f>IFERROR(발주서!M220," ")</f>
        <v>0</v>
      </c>
      <c r="D220" s="24" t="str">
        <f>발주서!P220</f>
        <v> </v>
      </c>
      <c r="E220" s="25"/>
      <c r="F220" s="26"/>
    </row>
    <row r="221" spans="1:6" x14ac:dyDescent="0.25">
      <c r="A221" s="23">
        <v>220</v>
      </c>
      <c r="B221" s="24" t="str">
        <f>IFERROR(발주서!L221, " ")</f>
        <v>  </v>
      </c>
      <c r="C221" s="24">
        <f>IFERROR(발주서!M221," ")</f>
        <v>0</v>
      </c>
      <c r="D221" s="24" t="str">
        <f>발주서!P221</f>
        <v> </v>
      </c>
      <c r="E221" s="25"/>
      <c r="F221" s="26"/>
    </row>
    <row r="222" spans="1:6" x14ac:dyDescent="0.25">
      <c r="A222" s="23">
        <v>221</v>
      </c>
      <c r="B222" s="24" t="str">
        <f>IFERROR(발주서!L222, " ")</f>
        <v>  </v>
      </c>
      <c r="C222" s="24">
        <f>IFERROR(발주서!M222," ")</f>
        <v>0</v>
      </c>
      <c r="D222" s="24" t="str">
        <f>발주서!P222</f>
        <v> </v>
      </c>
      <c r="E222" s="25"/>
      <c r="F222" s="26"/>
    </row>
    <row r="223" spans="1:6" x14ac:dyDescent="0.25">
      <c r="A223" s="23">
        <v>222</v>
      </c>
      <c r="B223" s="24" t="str">
        <f>IFERROR(발주서!L223, " ")</f>
        <v>  </v>
      </c>
      <c r="C223" s="24">
        <f>IFERROR(발주서!M223," ")</f>
        <v>0</v>
      </c>
      <c r="D223" s="24" t="str">
        <f>발주서!P223</f>
        <v> </v>
      </c>
      <c r="E223" s="25"/>
      <c r="F223" s="26"/>
    </row>
    <row r="224" spans="1:6" x14ac:dyDescent="0.25">
      <c r="A224" s="23">
        <v>223</v>
      </c>
      <c r="B224" s="24" t="str">
        <f>IFERROR(발주서!L224, " ")</f>
        <v>  </v>
      </c>
      <c r="C224" s="24">
        <f>IFERROR(발주서!M224," ")</f>
        <v>0</v>
      </c>
      <c r="D224" s="24" t="str">
        <f>발주서!P224</f>
        <v> </v>
      </c>
      <c r="E224" s="25"/>
      <c r="F224" s="26"/>
    </row>
    <row r="225" spans="1:6" x14ac:dyDescent="0.25">
      <c r="A225" s="23">
        <v>224</v>
      </c>
      <c r="B225" s="24" t="str">
        <f>IFERROR(발주서!L225, " ")</f>
        <v>  </v>
      </c>
      <c r="C225" s="24">
        <f>IFERROR(발주서!M225," ")</f>
        <v>0</v>
      </c>
      <c r="D225" s="24" t="str">
        <f>발주서!P225</f>
        <v> </v>
      </c>
      <c r="E225" s="25"/>
      <c r="F225" s="26"/>
    </row>
    <row r="226" spans="1:6" x14ac:dyDescent="0.25">
      <c r="A226" s="23">
        <v>225</v>
      </c>
      <c r="B226" s="24" t="str">
        <f>IFERROR(발주서!L226, " ")</f>
        <v>  </v>
      </c>
      <c r="C226" s="24">
        <f>IFERROR(발주서!M226," ")</f>
        <v>0</v>
      </c>
      <c r="D226" s="24" t="str">
        <f>발주서!P226</f>
        <v> </v>
      </c>
      <c r="E226" s="25"/>
      <c r="F226" s="26"/>
    </row>
    <row r="227" spans="1:6" x14ac:dyDescent="0.25">
      <c r="A227" s="23">
        <v>226</v>
      </c>
      <c r="B227" s="24" t="str">
        <f>IFERROR(발주서!L227, " ")</f>
        <v>  </v>
      </c>
      <c r="C227" s="24">
        <f>IFERROR(발주서!M227," ")</f>
        <v>0</v>
      </c>
      <c r="D227" s="24" t="str">
        <f>발주서!P227</f>
        <v> </v>
      </c>
      <c r="E227" s="25"/>
      <c r="F227" s="26"/>
    </row>
    <row r="228" spans="1:6" x14ac:dyDescent="0.25">
      <c r="A228" s="23">
        <v>227</v>
      </c>
      <c r="B228" s="24" t="str">
        <f>IFERROR(발주서!L228, " ")</f>
        <v>  </v>
      </c>
      <c r="C228" s="24">
        <f>IFERROR(발주서!M228," ")</f>
        <v>0</v>
      </c>
      <c r="D228" s="24" t="str">
        <f>발주서!P228</f>
        <v> </v>
      </c>
      <c r="E228" s="25"/>
      <c r="F228" s="26"/>
    </row>
    <row r="229" spans="1:6" x14ac:dyDescent="0.25">
      <c r="A229" s="23">
        <v>228</v>
      </c>
      <c r="B229" s="24" t="str">
        <f>IFERROR(발주서!L229, " ")</f>
        <v>  </v>
      </c>
      <c r="C229" s="24">
        <f>IFERROR(발주서!M229," ")</f>
        <v>0</v>
      </c>
      <c r="D229" s="24" t="str">
        <f>발주서!P229</f>
        <v> </v>
      </c>
      <c r="E229" s="25"/>
      <c r="F229" s="26"/>
    </row>
    <row r="230" spans="1:6" x14ac:dyDescent="0.25">
      <c r="A230" s="23">
        <v>229</v>
      </c>
      <c r="B230" s="24" t="str">
        <f>IFERROR(발주서!L230, " ")</f>
        <v>  </v>
      </c>
      <c r="C230" s="24">
        <f>IFERROR(발주서!M230," ")</f>
        <v>0</v>
      </c>
      <c r="D230" s="24" t="str">
        <f>발주서!P230</f>
        <v> </v>
      </c>
      <c r="E230" s="25"/>
      <c r="F230" s="26"/>
    </row>
    <row r="231" spans="1:6" x14ac:dyDescent="0.25">
      <c r="A231" s="23">
        <v>230</v>
      </c>
      <c r="B231" s="24" t="str">
        <f>IFERROR(발주서!L231, " ")</f>
        <v>  </v>
      </c>
      <c r="C231" s="24">
        <f>IFERROR(발주서!M231," ")</f>
        <v>0</v>
      </c>
      <c r="D231" s="24" t="str">
        <f>발주서!P231</f>
        <v> </v>
      </c>
      <c r="E231" s="25"/>
      <c r="F231" s="26"/>
    </row>
    <row r="232" spans="1:6" x14ac:dyDescent="0.25">
      <c r="A232" s="23">
        <v>231</v>
      </c>
      <c r="B232" s="24" t="str">
        <f>IFERROR(발주서!L232, " ")</f>
        <v>  </v>
      </c>
      <c r="C232" s="24">
        <f>IFERROR(발주서!M232," ")</f>
        <v>0</v>
      </c>
      <c r="D232" s="24" t="str">
        <f>발주서!P232</f>
        <v> </v>
      </c>
      <c r="E232" s="25"/>
      <c r="F232" s="26"/>
    </row>
    <row r="233" spans="1:6" x14ac:dyDescent="0.25">
      <c r="A233" s="23">
        <v>232</v>
      </c>
      <c r="B233" s="24" t="str">
        <f>IFERROR(발주서!L233, " ")</f>
        <v>  </v>
      </c>
      <c r="C233" s="24">
        <f>IFERROR(발주서!M233," ")</f>
        <v>0</v>
      </c>
      <c r="D233" s="24" t="str">
        <f>발주서!P233</f>
        <v> </v>
      </c>
      <c r="E233" s="25"/>
      <c r="F233" s="26"/>
    </row>
    <row r="234" spans="1:6" x14ac:dyDescent="0.25">
      <c r="A234" s="23">
        <v>233</v>
      </c>
      <c r="B234" s="24" t="str">
        <f>IFERROR(발주서!L234, " ")</f>
        <v>  </v>
      </c>
      <c r="C234" s="24">
        <f>IFERROR(발주서!M234," ")</f>
        <v>0</v>
      </c>
      <c r="D234" s="24" t="str">
        <f>발주서!P234</f>
        <v> </v>
      </c>
      <c r="E234" s="25"/>
      <c r="F234" s="26"/>
    </row>
    <row r="235" spans="1:6" x14ac:dyDescent="0.25">
      <c r="A235" s="23">
        <v>234</v>
      </c>
      <c r="B235" s="24" t="str">
        <f>IFERROR(발주서!L235, " ")</f>
        <v>  </v>
      </c>
      <c r="C235" s="24">
        <f>IFERROR(발주서!M235," ")</f>
        <v>0</v>
      </c>
      <c r="D235" s="24" t="str">
        <f>발주서!P235</f>
        <v> </v>
      </c>
      <c r="E235" s="25"/>
      <c r="F235" s="26"/>
    </row>
    <row r="236" spans="1:6" x14ac:dyDescent="0.25">
      <c r="A236" s="23">
        <v>235</v>
      </c>
      <c r="B236" s="24" t="str">
        <f>IFERROR(발주서!L236, " ")</f>
        <v>  </v>
      </c>
      <c r="C236" s="24">
        <f>IFERROR(발주서!M236," ")</f>
        <v>0</v>
      </c>
      <c r="D236" s="24" t="str">
        <f>발주서!P236</f>
        <v> </v>
      </c>
      <c r="E236" s="25"/>
      <c r="F236" s="26"/>
    </row>
    <row r="237" spans="1:6" x14ac:dyDescent="0.25">
      <c r="A237" s="23">
        <v>236</v>
      </c>
      <c r="B237" s="24" t="str">
        <f>IFERROR(발주서!L237, " ")</f>
        <v>  </v>
      </c>
      <c r="C237" s="24">
        <f>IFERROR(발주서!M237," ")</f>
        <v>0</v>
      </c>
      <c r="D237" s="24" t="str">
        <f>발주서!P237</f>
        <v> </v>
      </c>
      <c r="E237" s="25"/>
      <c r="F237" s="26"/>
    </row>
    <row r="238" spans="1:6" x14ac:dyDescent="0.25">
      <c r="A238" s="23">
        <v>237</v>
      </c>
      <c r="B238" s="24" t="str">
        <f>IFERROR(발주서!L238, " ")</f>
        <v>  </v>
      </c>
      <c r="C238" s="24">
        <f>IFERROR(발주서!M238," ")</f>
        <v>0</v>
      </c>
      <c r="D238" s="24" t="str">
        <f>발주서!P238</f>
        <v> </v>
      </c>
      <c r="E238" s="25"/>
      <c r="F238" s="26"/>
    </row>
    <row r="239" spans="1:6" x14ac:dyDescent="0.25">
      <c r="A239" s="23">
        <v>238</v>
      </c>
      <c r="B239" s="24" t="str">
        <f>IFERROR(발주서!L239, " ")</f>
        <v>  </v>
      </c>
      <c r="C239" s="24">
        <f>IFERROR(발주서!M239," ")</f>
        <v>0</v>
      </c>
      <c r="D239" s="24" t="str">
        <f>발주서!P239</f>
        <v> </v>
      </c>
      <c r="E239" s="25"/>
      <c r="F239" s="26"/>
    </row>
    <row r="240" spans="1:6" x14ac:dyDescent="0.25">
      <c r="A240" s="23">
        <v>239</v>
      </c>
      <c r="B240" s="24" t="str">
        <f>IFERROR(발주서!L240, " ")</f>
        <v>  </v>
      </c>
      <c r="C240" s="24">
        <f>IFERROR(발주서!M240," ")</f>
        <v>0</v>
      </c>
      <c r="D240" s="24" t="str">
        <f>발주서!P240</f>
        <v> </v>
      </c>
      <c r="E240" s="25"/>
      <c r="F240" s="26"/>
    </row>
    <row r="241" spans="1:6" x14ac:dyDescent="0.25">
      <c r="A241" s="23">
        <v>240</v>
      </c>
      <c r="B241" s="24" t="str">
        <f>IFERROR(발주서!L241, " ")</f>
        <v>  </v>
      </c>
      <c r="C241" s="24">
        <f>IFERROR(발주서!M241," ")</f>
        <v>0</v>
      </c>
      <c r="D241" s="24" t="str">
        <f>발주서!P241</f>
        <v> </v>
      </c>
      <c r="E241" s="25"/>
      <c r="F241" s="26"/>
    </row>
    <row r="242" spans="1:6" x14ac:dyDescent="0.25">
      <c r="A242" s="23">
        <v>241</v>
      </c>
      <c r="B242" s="24" t="str">
        <f>IFERROR(발주서!L242, " ")</f>
        <v>  </v>
      </c>
      <c r="C242" s="24">
        <f>IFERROR(발주서!M242," ")</f>
        <v>0</v>
      </c>
      <c r="D242" s="24" t="str">
        <f>발주서!P242</f>
        <v> </v>
      </c>
      <c r="E242" s="25"/>
      <c r="F242" s="26"/>
    </row>
    <row r="243" spans="1:6" x14ac:dyDescent="0.25">
      <c r="A243" s="23">
        <v>242</v>
      </c>
      <c r="B243" s="24" t="str">
        <f>IFERROR(발주서!L243, " ")</f>
        <v>  </v>
      </c>
      <c r="C243" s="24">
        <f>IFERROR(발주서!M243," ")</f>
        <v>0</v>
      </c>
      <c r="D243" s="24" t="str">
        <f>발주서!P243</f>
        <v> </v>
      </c>
      <c r="E243" s="25"/>
      <c r="F243" s="26"/>
    </row>
    <row r="244" spans="1:6" x14ac:dyDescent="0.25">
      <c r="A244" s="23">
        <v>243</v>
      </c>
      <c r="B244" s="24" t="str">
        <f>IFERROR(발주서!L244, " ")</f>
        <v>  </v>
      </c>
      <c r="C244" s="24">
        <f>IFERROR(발주서!M244," ")</f>
        <v>0</v>
      </c>
      <c r="D244" s="24" t="str">
        <f>발주서!P244</f>
        <v> </v>
      </c>
      <c r="E244" s="25"/>
      <c r="F244" s="26"/>
    </row>
    <row r="245" spans="1:6" x14ac:dyDescent="0.25">
      <c r="A245" s="23">
        <v>244</v>
      </c>
      <c r="B245" s="24" t="str">
        <f>IFERROR(발주서!L245, " ")</f>
        <v>  </v>
      </c>
      <c r="C245" s="24">
        <f>IFERROR(발주서!M245," ")</f>
        <v>0</v>
      </c>
      <c r="D245" s="24" t="str">
        <f>발주서!P245</f>
        <v> </v>
      </c>
      <c r="E245" s="25"/>
      <c r="F245" s="26"/>
    </row>
    <row r="246" spans="1:6" x14ac:dyDescent="0.25">
      <c r="A246" s="23">
        <v>245</v>
      </c>
      <c r="B246" s="24" t="str">
        <f>IFERROR(발주서!L246, " ")</f>
        <v>  </v>
      </c>
      <c r="C246" s="24">
        <f>IFERROR(발주서!M246," ")</f>
        <v>0</v>
      </c>
      <c r="D246" s="24" t="str">
        <f>발주서!P246</f>
        <v> </v>
      </c>
      <c r="E246" s="25"/>
      <c r="F246" s="26"/>
    </row>
    <row r="247" spans="1:6" x14ac:dyDescent="0.25">
      <c r="A247" s="23">
        <v>246</v>
      </c>
      <c r="B247" s="24" t="str">
        <f>IFERROR(발주서!L247, " ")</f>
        <v>  </v>
      </c>
      <c r="C247" s="24">
        <f>IFERROR(발주서!M247," ")</f>
        <v>0</v>
      </c>
      <c r="D247" s="24" t="str">
        <f>발주서!P247</f>
        <v> </v>
      </c>
      <c r="E247" s="25"/>
      <c r="F247" s="26"/>
    </row>
    <row r="248" spans="1:6" x14ac:dyDescent="0.25">
      <c r="A248" s="23">
        <v>247</v>
      </c>
      <c r="B248" s="24" t="str">
        <f>IFERROR(발주서!L248, " ")</f>
        <v>  </v>
      </c>
      <c r="C248" s="24">
        <f>IFERROR(발주서!M248," ")</f>
        <v>0</v>
      </c>
      <c r="D248" s="24" t="str">
        <f>발주서!P248</f>
        <v> </v>
      </c>
      <c r="E248" s="25"/>
      <c r="F248" s="26"/>
    </row>
    <row r="249" spans="1:6" x14ac:dyDescent="0.25">
      <c r="A249" s="23">
        <v>248</v>
      </c>
      <c r="B249" s="24" t="str">
        <f>IFERROR(발주서!L249, " ")</f>
        <v>  </v>
      </c>
      <c r="C249" s="24">
        <f>IFERROR(발주서!M249," ")</f>
        <v>0</v>
      </c>
      <c r="D249" s="24" t="str">
        <f>발주서!P249</f>
        <v> </v>
      </c>
      <c r="E249" s="25"/>
      <c r="F249" s="26"/>
    </row>
    <row r="250" spans="1:6" x14ac:dyDescent="0.25">
      <c r="A250" s="23">
        <v>249</v>
      </c>
      <c r="B250" s="24" t="str">
        <f>IFERROR(발주서!L250, " ")</f>
        <v>  </v>
      </c>
      <c r="C250" s="24">
        <f>IFERROR(발주서!M250," ")</f>
        <v>0</v>
      </c>
      <c r="D250" s="24" t="str">
        <f>발주서!P250</f>
        <v> </v>
      </c>
      <c r="E250" s="25"/>
      <c r="F250" s="26"/>
    </row>
    <row r="251" spans="1:6" x14ac:dyDescent="0.25">
      <c r="A251" s="23">
        <v>250</v>
      </c>
      <c r="B251" s="24" t="str">
        <f>IFERROR(발주서!L251, " ")</f>
        <v>  </v>
      </c>
      <c r="C251" s="24">
        <f>IFERROR(발주서!M251," ")</f>
        <v>0</v>
      </c>
      <c r="D251" s="24" t="str">
        <f>발주서!P251</f>
        <v> </v>
      </c>
      <c r="E251" s="25"/>
      <c r="F251" s="26"/>
    </row>
    <row r="252" spans="1:6" x14ac:dyDescent="0.25">
      <c r="A252" s="23">
        <v>251</v>
      </c>
      <c r="B252" s="24" t="str">
        <f>IFERROR(발주서!L252, " ")</f>
        <v>  </v>
      </c>
      <c r="C252" s="24">
        <f>IFERROR(발주서!M252," ")</f>
        <v>0</v>
      </c>
      <c r="D252" s="24" t="str">
        <f>발주서!P252</f>
        <v> </v>
      </c>
      <c r="E252" s="25"/>
      <c r="F252" s="26"/>
    </row>
    <row r="253" spans="1:6" x14ac:dyDescent="0.25">
      <c r="A253" s="23">
        <v>252</v>
      </c>
      <c r="B253" s="24" t="str">
        <f>IFERROR(발주서!L253, " ")</f>
        <v>  </v>
      </c>
      <c r="C253" s="24">
        <f>IFERROR(발주서!M253," ")</f>
        <v>0</v>
      </c>
      <c r="D253" s="24" t="str">
        <f>발주서!P253</f>
        <v> </v>
      </c>
      <c r="E253" s="25"/>
      <c r="F253" s="26"/>
    </row>
    <row r="254" spans="1:6" x14ac:dyDescent="0.25">
      <c r="A254" s="23">
        <v>253</v>
      </c>
      <c r="B254" s="24" t="str">
        <f>IFERROR(발주서!L254, " ")</f>
        <v>  </v>
      </c>
      <c r="C254" s="24">
        <f>IFERROR(발주서!M254," ")</f>
        <v>0</v>
      </c>
      <c r="D254" s="24" t="str">
        <f>발주서!P254</f>
        <v> </v>
      </c>
      <c r="E254" s="25"/>
      <c r="F254" s="26"/>
    </row>
    <row r="255" spans="1:6" x14ac:dyDescent="0.25">
      <c r="A255" s="27" t="s">
        <v>37</v>
      </c>
      <c r="B255" s="28"/>
      <c r="C255" s="29">
        <f>SUM(C2:C254)</f>
        <v>0</v>
      </c>
      <c r="D255" s="30"/>
      <c r="E255" s="29">
        <f>SUM(E2:E254)</f>
        <v>0</v>
      </c>
      <c r="F255" s="31">
        <f>SUM(F2:F254)</f>
        <v>0</v>
      </c>
    </row>
  </sheetData>
  <mergeCells count="1">
    <mergeCell ref="A255:B2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01"/>
  <sheetViews>
    <sheetView workbookViewId="0" zoomScale="100" zoomScaleNormal="100">
      <selection activeCell="B152" sqref="B152"/>
    </sheetView>
  </sheetViews>
  <sheetFormatPr defaultRowHeight="18" outlineLevelRow="0" outlineLevelCol="0" x14ac:dyDescent="0" customHeight="1"/>
  <cols>
    <col min="1" max="2" width="15" style="59" customWidth="1"/>
    <col min="3" max="3" width="30" style="59" customWidth="1"/>
    <col min="4" max="17" width="15" style="59" customWidth="1"/>
  </cols>
  <sheetData>
    <row r="1" ht="18" customHeight="1" spans="1:17" x14ac:dyDescent="0.25">
      <c r="A1" s="60" t="s">
        <v>201</v>
      </c>
      <c r="B1" s="60" t="s">
        <v>202</v>
      </c>
      <c r="C1" s="60" t="s">
        <v>11</v>
      </c>
      <c r="D1" s="60" t="s">
        <v>15</v>
      </c>
      <c r="E1" s="60" t="s">
        <v>203</v>
      </c>
      <c r="F1" s="60" t="s">
        <v>204</v>
      </c>
      <c r="G1" s="60" t="s">
        <v>205</v>
      </c>
      <c r="H1" s="60" t="s">
        <v>206</v>
      </c>
      <c r="I1" s="60" t="s">
        <v>207</v>
      </c>
      <c r="J1" s="60" t="s">
        <v>208</v>
      </c>
      <c r="K1" s="60" t="s">
        <v>209</v>
      </c>
      <c r="L1" s="60" t="s">
        <v>210</v>
      </c>
      <c r="M1" s="60" t="s">
        <v>211</v>
      </c>
      <c r="N1" s="60" t="s">
        <v>212</v>
      </c>
      <c r="O1" s="60" t="s">
        <v>213</v>
      </c>
      <c r="P1" s="60" t="s">
        <v>214</v>
      </c>
      <c r="Q1" s="60" t="s">
        <v>215</v>
      </c>
    </row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18" customHeight="1" x14ac:dyDescent="0.25"/>
    <row r="8" ht="18" customHeight="1" x14ac:dyDescent="0.25"/>
    <row r="9" ht="18" customHeight="1" x14ac:dyDescent="0.25"/>
    <row r="10" ht="18" customHeight="1" x14ac:dyDescent="0.25"/>
    <row r="11" ht="18" customHeight="1" x14ac:dyDescent="0.25"/>
    <row r="12" ht="18" customHeight="1" x14ac:dyDescent="0.25"/>
    <row r="13" ht="18" customHeight="1" x14ac:dyDescent="0.25"/>
    <row r="14" ht="18" customHeight="1" x14ac:dyDescent="0.25"/>
    <row r="15" ht="18" customHeight="1" x14ac:dyDescent="0.25"/>
    <row r="16" ht="18" customHeight="1" x14ac:dyDescent="0.25"/>
    <row r="17" ht="18" customHeight="1" x14ac:dyDescent="0.25"/>
    <row r="18" ht="18" customHeight="1" x14ac:dyDescent="0.25"/>
    <row r="19" ht="18" customHeight="1" x14ac:dyDescent="0.25"/>
    <row r="20" ht="18" customHeight="1" x14ac:dyDescent="0.25"/>
    <row r="21" ht="18" customHeight="1" x14ac:dyDescent="0.25"/>
    <row r="22" ht="18" customHeight="1" x14ac:dyDescent="0.25"/>
    <row r="23" ht="18" customHeight="1" x14ac:dyDescent="0.25"/>
    <row r="24" ht="18" customHeight="1" x14ac:dyDescent="0.25"/>
    <row r="25" ht="18" customHeight="1" x14ac:dyDescent="0.25"/>
    <row r="26" ht="18" customHeight="1" x14ac:dyDescent="0.25"/>
    <row r="27" ht="18" customHeight="1" x14ac:dyDescent="0.25"/>
    <row r="28" ht="18" customHeight="1" x14ac:dyDescent="0.25"/>
    <row r="29" ht="18" customHeight="1" x14ac:dyDescent="0.25"/>
    <row r="30" ht="18" customHeight="1" x14ac:dyDescent="0.25"/>
    <row r="31" ht="18" customHeight="1" x14ac:dyDescent="0.25"/>
    <row r="32" ht="18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  <row r="1001" ht="16.5" customHeight="1" x14ac:dyDescent="0.25"/>
    <row r="1002" ht="16.5" customHeight="1" x14ac:dyDescent="0.25"/>
    <row r="1003" ht="16.5" customHeight="1" x14ac:dyDescent="0.25"/>
    <row r="1004" ht="16.5" customHeight="1" x14ac:dyDescent="0.25"/>
    <row r="1005" ht="16.5" customHeight="1" x14ac:dyDescent="0.25"/>
    <row r="1006" ht="16.5" customHeight="1" x14ac:dyDescent="0.25"/>
    <row r="1007" ht="16.5" customHeight="1" x14ac:dyDescent="0.25"/>
    <row r="1008" ht="16.5" customHeight="1" x14ac:dyDescent="0.25"/>
    <row r="1009" ht="16.5" customHeight="1" x14ac:dyDescent="0.25"/>
    <row r="1010" ht="16.5" customHeight="1" x14ac:dyDescent="0.25"/>
    <row r="1011" ht="16.5" customHeight="1" x14ac:dyDescent="0.25"/>
    <row r="1012" ht="16.5" customHeight="1" x14ac:dyDescent="0.25"/>
    <row r="1013" ht="16.5" customHeight="1" x14ac:dyDescent="0.25"/>
    <row r="1014" ht="16.5" customHeight="1" x14ac:dyDescent="0.25"/>
    <row r="1015" ht="16.5" customHeight="1" x14ac:dyDescent="0.25"/>
    <row r="1016" ht="16.5" customHeight="1" x14ac:dyDescent="0.25"/>
    <row r="1017" ht="16.5" customHeight="1" x14ac:dyDescent="0.25"/>
    <row r="1018" ht="16.5" customHeight="1" x14ac:dyDescent="0.25"/>
    <row r="1019" ht="16.5" customHeight="1" x14ac:dyDescent="0.25"/>
    <row r="1020" ht="16.5" customHeight="1" x14ac:dyDescent="0.25"/>
    <row r="1021" ht="16.5" customHeight="1" x14ac:dyDescent="0.25"/>
    <row r="1022" ht="16.5" customHeight="1" x14ac:dyDescent="0.25"/>
    <row r="1023" ht="16.5" customHeight="1" x14ac:dyDescent="0.25"/>
    <row r="1024" ht="16.5" customHeight="1" x14ac:dyDescent="0.25"/>
    <row r="1025" ht="16.5" customHeight="1" x14ac:dyDescent="0.25"/>
    <row r="1026" ht="16.5" customHeight="1" x14ac:dyDescent="0.25"/>
    <row r="1027" ht="16.5" customHeight="1" x14ac:dyDescent="0.25"/>
    <row r="1028" ht="16.5" customHeight="1" x14ac:dyDescent="0.25"/>
    <row r="1029" ht="16.5" customHeight="1" x14ac:dyDescent="0.25"/>
    <row r="1030" ht="16.5" customHeight="1" x14ac:dyDescent="0.25"/>
    <row r="1031" ht="16.5" customHeight="1" x14ac:dyDescent="0.25"/>
    <row r="1032" ht="16.5" customHeight="1" x14ac:dyDescent="0.25"/>
    <row r="1033" ht="16.5" customHeight="1" x14ac:dyDescent="0.25"/>
    <row r="1034" ht="16.5" customHeight="1" x14ac:dyDescent="0.25"/>
    <row r="1035" ht="16.5" customHeight="1" x14ac:dyDescent="0.25"/>
    <row r="1036" ht="16.5" customHeight="1" x14ac:dyDescent="0.25"/>
    <row r="1037" ht="16.5" customHeight="1" x14ac:dyDescent="0.25"/>
    <row r="1038" ht="16.5" customHeight="1" x14ac:dyDescent="0.25"/>
    <row r="1039" ht="16.5" customHeight="1" x14ac:dyDescent="0.25"/>
    <row r="1040" ht="16.5" customHeight="1" x14ac:dyDescent="0.25"/>
    <row r="1041" ht="16.5" customHeight="1" x14ac:dyDescent="0.25"/>
    <row r="1042" ht="16.5" customHeight="1" x14ac:dyDescent="0.25"/>
    <row r="1043" ht="16.5" customHeight="1" x14ac:dyDescent="0.25"/>
    <row r="1044" ht="16.5" customHeight="1" x14ac:dyDescent="0.25"/>
    <row r="1045" ht="16.5" customHeight="1" x14ac:dyDescent="0.25"/>
    <row r="1046" ht="16.5" customHeight="1" x14ac:dyDescent="0.25"/>
    <row r="1047" ht="16.5" customHeight="1" x14ac:dyDescent="0.25"/>
    <row r="1048" ht="16.5" customHeight="1" x14ac:dyDescent="0.25"/>
    <row r="1049" ht="16.5" customHeight="1" x14ac:dyDescent="0.25"/>
    <row r="1050" ht="16.5" customHeight="1" x14ac:dyDescent="0.25"/>
    <row r="1051" ht="16.5" customHeight="1" x14ac:dyDescent="0.25"/>
    <row r="1052" ht="16.5" customHeight="1" x14ac:dyDescent="0.25"/>
    <row r="1053" ht="16.5" customHeight="1" x14ac:dyDescent="0.25"/>
    <row r="1054" ht="16.5" customHeight="1" x14ac:dyDescent="0.25"/>
    <row r="1055" ht="16.5" customHeight="1" x14ac:dyDescent="0.25"/>
    <row r="1056" ht="16.5" customHeight="1" x14ac:dyDescent="0.25"/>
    <row r="1057" ht="16.5" customHeight="1" x14ac:dyDescent="0.25"/>
    <row r="1058" ht="16.5" customHeight="1" x14ac:dyDescent="0.25"/>
    <row r="1059" ht="16.5" customHeight="1" x14ac:dyDescent="0.25"/>
    <row r="1060" ht="16.5" customHeight="1" x14ac:dyDescent="0.25"/>
    <row r="1061" ht="16.5" customHeight="1" x14ac:dyDescent="0.25"/>
    <row r="1062" ht="16.5" customHeight="1" x14ac:dyDescent="0.25"/>
    <row r="1063" ht="16.5" customHeight="1" x14ac:dyDescent="0.25"/>
    <row r="1064" ht="16.5" customHeight="1" x14ac:dyDescent="0.25"/>
    <row r="1065" ht="16.5" customHeight="1" x14ac:dyDescent="0.25"/>
    <row r="1066" ht="16.5" customHeight="1" x14ac:dyDescent="0.25"/>
    <row r="1067" ht="16.5" customHeight="1" x14ac:dyDescent="0.25"/>
    <row r="1068" ht="16.5" customHeight="1" x14ac:dyDescent="0.25"/>
    <row r="1069" ht="16.5" customHeight="1" x14ac:dyDescent="0.25"/>
    <row r="1070" ht="16.5" customHeight="1" x14ac:dyDescent="0.25"/>
    <row r="1071" ht="16.5" customHeight="1" x14ac:dyDescent="0.25"/>
    <row r="1072" ht="16.5" customHeight="1" x14ac:dyDescent="0.25"/>
    <row r="1073" ht="16.5" customHeight="1" x14ac:dyDescent="0.25"/>
    <row r="1074" ht="16.5" customHeight="1" x14ac:dyDescent="0.25"/>
    <row r="1075" ht="16.5" customHeight="1" x14ac:dyDescent="0.25"/>
    <row r="1076" ht="16.5" customHeight="1" x14ac:dyDescent="0.25"/>
    <row r="1077" ht="16.5" customHeight="1" x14ac:dyDescent="0.25"/>
    <row r="1078" ht="16.5" customHeight="1" x14ac:dyDescent="0.25"/>
    <row r="1079" ht="16.5" customHeight="1" x14ac:dyDescent="0.25"/>
    <row r="1080" ht="16.5" customHeight="1" x14ac:dyDescent="0.25"/>
    <row r="1081" ht="16.5" customHeight="1" x14ac:dyDescent="0.25"/>
    <row r="1082" ht="16.5" customHeight="1" x14ac:dyDescent="0.25"/>
    <row r="1083" ht="16.5" customHeight="1" x14ac:dyDescent="0.25"/>
    <row r="1084" ht="16.5" customHeight="1" x14ac:dyDescent="0.25"/>
    <row r="1085" ht="16.5" customHeight="1" x14ac:dyDescent="0.25"/>
    <row r="1086" ht="16.5" customHeight="1" x14ac:dyDescent="0.25"/>
    <row r="1087" ht="16.5" customHeight="1" x14ac:dyDescent="0.25"/>
    <row r="1088" ht="16.5" customHeight="1" x14ac:dyDescent="0.25"/>
    <row r="1089" ht="16.5" customHeight="1" x14ac:dyDescent="0.25"/>
    <row r="1090" ht="16.5" customHeight="1" x14ac:dyDescent="0.25"/>
    <row r="1091" ht="16.5" customHeight="1" x14ac:dyDescent="0.25"/>
    <row r="1092" ht="16.5" customHeight="1" x14ac:dyDescent="0.25"/>
    <row r="1093" ht="16.5" customHeight="1" x14ac:dyDescent="0.25"/>
    <row r="1094" ht="16.5" customHeight="1" x14ac:dyDescent="0.25"/>
    <row r="1095" ht="16.5" customHeight="1" x14ac:dyDescent="0.25"/>
    <row r="1096" ht="16.5" customHeight="1" x14ac:dyDescent="0.25"/>
    <row r="1097" ht="16.5" customHeight="1" x14ac:dyDescent="0.25"/>
    <row r="1098" ht="16.5" customHeight="1" x14ac:dyDescent="0.25"/>
    <row r="1099" ht="16.5" customHeight="1" x14ac:dyDescent="0.25"/>
    <row r="1100" ht="16.5" customHeight="1" x14ac:dyDescent="0.25"/>
    <row r="1101" ht="16.5" customHeight="1" x14ac:dyDescent="0.25"/>
    <row r="1102" ht="16.5" customHeight="1" x14ac:dyDescent="0.25"/>
    <row r="1103" ht="16.5" customHeight="1" x14ac:dyDescent="0.25"/>
    <row r="1104" ht="16.5" customHeight="1" x14ac:dyDescent="0.25"/>
    <row r="1105" ht="16.5" customHeight="1" x14ac:dyDescent="0.25"/>
    <row r="1106" ht="16.5" customHeight="1" x14ac:dyDescent="0.25"/>
    <row r="1107" ht="16.5" customHeight="1" x14ac:dyDescent="0.25"/>
    <row r="1108" ht="16.5" customHeight="1" x14ac:dyDescent="0.25"/>
    <row r="1109" ht="16.5" customHeight="1" x14ac:dyDescent="0.25"/>
    <row r="1110" ht="16.5" customHeight="1" x14ac:dyDescent="0.25"/>
    <row r="1111" ht="16.5" customHeight="1" x14ac:dyDescent="0.25"/>
    <row r="1112" ht="16.5" customHeight="1" x14ac:dyDescent="0.25"/>
    <row r="1113" ht="16.5" customHeight="1" x14ac:dyDescent="0.25"/>
    <row r="1114" ht="16.5" customHeight="1" x14ac:dyDescent="0.25"/>
    <row r="1115" ht="16.5" customHeight="1" x14ac:dyDescent="0.25"/>
    <row r="1116" ht="16.5" customHeight="1" x14ac:dyDescent="0.25"/>
    <row r="1117" ht="16.5" customHeight="1" x14ac:dyDescent="0.25"/>
    <row r="1118" ht="16.5" customHeight="1" x14ac:dyDescent="0.25"/>
    <row r="1119" ht="16.5" customHeight="1" x14ac:dyDescent="0.25"/>
    <row r="1120" ht="16.5" customHeight="1" x14ac:dyDescent="0.25"/>
    <row r="1121" ht="16.5" customHeight="1" x14ac:dyDescent="0.25"/>
    <row r="1122" ht="16.5" customHeight="1" x14ac:dyDescent="0.25"/>
    <row r="1123" ht="16.5" customHeight="1" x14ac:dyDescent="0.25"/>
    <row r="1124" ht="16.5" customHeight="1" x14ac:dyDescent="0.25"/>
    <row r="1125" ht="16.5" customHeight="1" x14ac:dyDescent="0.25"/>
    <row r="1126" ht="16.5" customHeight="1" x14ac:dyDescent="0.25"/>
    <row r="1127" ht="16.5" customHeight="1" x14ac:dyDescent="0.25"/>
    <row r="1128" ht="16.5" customHeight="1" x14ac:dyDescent="0.25"/>
    <row r="1129" ht="16.5" customHeight="1" x14ac:dyDescent="0.25"/>
    <row r="1130" ht="16.5" customHeight="1" x14ac:dyDescent="0.25"/>
    <row r="1131" ht="16.5" customHeight="1" x14ac:dyDescent="0.25"/>
    <row r="1132" ht="16.5" customHeight="1" x14ac:dyDescent="0.25"/>
    <row r="1133" ht="16.5" customHeight="1" x14ac:dyDescent="0.25"/>
    <row r="1134" ht="16.5" customHeight="1" x14ac:dyDescent="0.25"/>
    <row r="1135" ht="16.5" customHeight="1" x14ac:dyDescent="0.25"/>
    <row r="1136" ht="16.5" customHeight="1" x14ac:dyDescent="0.25"/>
    <row r="1137" ht="16.5" customHeight="1" x14ac:dyDescent="0.25"/>
    <row r="1138" ht="16.5" customHeight="1" x14ac:dyDescent="0.25"/>
    <row r="1139" ht="16.5" customHeight="1" x14ac:dyDescent="0.25"/>
    <row r="1140" ht="16.5" customHeight="1" x14ac:dyDescent="0.25"/>
    <row r="1141" ht="16.5" customHeight="1" x14ac:dyDescent="0.25"/>
    <row r="1142" ht="16.5" customHeight="1" x14ac:dyDescent="0.25"/>
    <row r="1143" ht="16.5" customHeight="1" x14ac:dyDescent="0.25"/>
    <row r="1144" ht="16.5" customHeight="1" x14ac:dyDescent="0.25"/>
    <row r="1145" ht="16.5" customHeight="1" x14ac:dyDescent="0.25"/>
    <row r="1146" ht="16.5" customHeight="1" x14ac:dyDescent="0.25"/>
    <row r="1147" ht="16.5" customHeight="1" x14ac:dyDescent="0.25"/>
    <row r="1148" ht="16.5" customHeight="1" x14ac:dyDescent="0.25"/>
    <row r="1149" ht="16.5" customHeight="1" x14ac:dyDescent="0.25"/>
    <row r="1150" ht="16.5" customHeight="1" x14ac:dyDescent="0.25"/>
    <row r="1151" ht="16.5" customHeight="1" x14ac:dyDescent="0.25"/>
    <row r="1152" ht="16.5" customHeight="1" x14ac:dyDescent="0.25"/>
    <row r="1153" ht="16.5" customHeight="1" x14ac:dyDescent="0.25"/>
    <row r="1154" ht="16.5" customHeight="1" x14ac:dyDescent="0.25"/>
    <row r="1155" ht="16.5" customHeight="1" x14ac:dyDescent="0.25"/>
    <row r="1156" ht="16.5" customHeight="1" x14ac:dyDescent="0.25"/>
    <row r="1157" ht="16.5" customHeight="1" x14ac:dyDescent="0.25"/>
    <row r="1158" ht="16.5" customHeight="1" x14ac:dyDescent="0.25"/>
    <row r="1159" ht="16.5" customHeight="1" x14ac:dyDescent="0.25"/>
    <row r="1160" ht="16.5" customHeight="1" x14ac:dyDescent="0.25"/>
    <row r="1161" ht="16.5" customHeight="1" x14ac:dyDescent="0.25"/>
    <row r="1162" ht="16.5" customHeight="1" x14ac:dyDescent="0.25"/>
    <row r="1163" ht="16.5" customHeight="1" x14ac:dyDescent="0.25"/>
    <row r="1164" ht="16.5" customHeight="1" x14ac:dyDescent="0.25"/>
    <row r="1165" ht="16.5" customHeight="1" x14ac:dyDescent="0.25"/>
    <row r="1166" ht="16.5" customHeight="1" x14ac:dyDescent="0.25"/>
    <row r="1167" ht="16.5" customHeight="1" x14ac:dyDescent="0.25"/>
    <row r="1168" ht="16.5" customHeight="1" x14ac:dyDescent="0.25"/>
    <row r="1169" ht="16.5" customHeight="1" x14ac:dyDescent="0.25"/>
    <row r="1170" ht="16.5" customHeight="1" x14ac:dyDescent="0.25"/>
    <row r="1171" ht="16.5" customHeight="1" x14ac:dyDescent="0.25"/>
    <row r="1172" ht="16.5" customHeight="1" x14ac:dyDescent="0.25"/>
    <row r="1173" ht="16.5" customHeight="1" x14ac:dyDescent="0.25"/>
    <row r="1174" ht="16.5" customHeight="1" x14ac:dyDescent="0.25"/>
    <row r="1175" ht="16.5" customHeight="1" x14ac:dyDescent="0.25"/>
    <row r="1176" ht="16.5" customHeight="1" x14ac:dyDescent="0.25"/>
    <row r="1177" ht="16.5" customHeight="1" x14ac:dyDescent="0.25"/>
    <row r="1178" ht="16.5" customHeight="1" x14ac:dyDescent="0.25"/>
    <row r="1179" ht="16.5" customHeight="1" x14ac:dyDescent="0.25"/>
    <row r="1180" ht="16.5" customHeight="1" x14ac:dyDescent="0.25"/>
    <row r="1181" ht="16.5" customHeight="1" x14ac:dyDescent="0.25"/>
    <row r="1182" ht="16.5" customHeight="1" x14ac:dyDescent="0.25"/>
    <row r="1183" ht="16.5" customHeight="1" x14ac:dyDescent="0.25"/>
    <row r="1184" ht="16.5" customHeight="1" x14ac:dyDescent="0.25"/>
    <row r="1185" ht="16.5" customHeight="1" x14ac:dyDescent="0.25"/>
    <row r="1186" ht="16.5" customHeight="1" x14ac:dyDescent="0.25"/>
    <row r="1187" ht="16.5" customHeight="1" x14ac:dyDescent="0.25"/>
    <row r="1188" ht="16.5" customHeight="1" x14ac:dyDescent="0.25"/>
    <row r="1189" ht="16.5" customHeight="1" x14ac:dyDescent="0.25"/>
    <row r="1190" ht="16.5" customHeight="1" x14ac:dyDescent="0.25"/>
    <row r="1191" ht="16.5" customHeight="1" x14ac:dyDescent="0.25"/>
    <row r="1192" ht="16.5" customHeight="1" x14ac:dyDescent="0.25"/>
    <row r="1193" ht="16.5" customHeight="1" x14ac:dyDescent="0.25"/>
    <row r="1194" ht="16.5" customHeight="1" x14ac:dyDescent="0.25"/>
    <row r="1195" ht="16.5" customHeight="1" x14ac:dyDescent="0.25"/>
    <row r="1196" ht="16.5" customHeight="1" x14ac:dyDescent="0.25"/>
    <row r="1197" ht="16.5" customHeight="1" x14ac:dyDescent="0.25"/>
    <row r="1198" ht="16.5" customHeight="1" x14ac:dyDescent="0.25"/>
    <row r="1199" ht="16.5" customHeight="1" x14ac:dyDescent="0.25"/>
    <row r="1200" ht="16.5" customHeight="1" x14ac:dyDescent="0.25"/>
    <row r="1201" ht="16.5" customHeight="1" x14ac:dyDescent="0.25"/>
    <row r="1202" ht="16.5" customHeight="1" x14ac:dyDescent="0.25"/>
    <row r="1203" ht="16.5" customHeight="1" x14ac:dyDescent="0.25"/>
    <row r="1204" ht="16.5" customHeight="1" x14ac:dyDescent="0.25"/>
    <row r="1205" ht="16.5" customHeight="1" x14ac:dyDescent="0.25"/>
    <row r="1206" ht="16.5" customHeight="1" x14ac:dyDescent="0.25"/>
    <row r="1207" ht="16.5" customHeight="1" x14ac:dyDescent="0.25"/>
    <row r="1208" ht="16.5" customHeight="1" x14ac:dyDescent="0.25"/>
    <row r="1209" ht="16.5" customHeight="1" x14ac:dyDescent="0.25"/>
    <row r="1210" ht="16.5" customHeight="1" x14ac:dyDescent="0.25"/>
    <row r="1211" ht="16.5" customHeight="1" x14ac:dyDescent="0.25"/>
    <row r="1212" ht="16.5" customHeight="1" x14ac:dyDescent="0.25"/>
    <row r="1213" ht="16.5" customHeight="1" x14ac:dyDescent="0.25"/>
    <row r="1214" ht="16.5" customHeight="1" x14ac:dyDescent="0.25"/>
    <row r="1215" ht="16.5" customHeight="1" x14ac:dyDescent="0.25"/>
    <row r="1216" ht="16.5" customHeight="1" x14ac:dyDescent="0.25"/>
    <row r="1217" ht="16.5" customHeight="1" x14ac:dyDescent="0.25"/>
    <row r="1218" ht="16.5" customHeight="1" x14ac:dyDescent="0.25"/>
    <row r="1219" ht="16.5" customHeight="1" x14ac:dyDescent="0.25"/>
    <row r="1220" ht="16.5" customHeight="1" x14ac:dyDescent="0.25"/>
    <row r="1221" ht="16.5" customHeight="1" x14ac:dyDescent="0.25"/>
    <row r="1222" ht="16.5" customHeight="1" x14ac:dyDescent="0.25"/>
    <row r="1223" ht="16.5" customHeight="1" x14ac:dyDescent="0.25"/>
    <row r="1224" ht="16.5" customHeight="1" x14ac:dyDescent="0.25"/>
    <row r="1225" ht="16.5" customHeight="1" x14ac:dyDescent="0.25"/>
    <row r="1226" ht="16.5" customHeight="1" x14ac:dyDescent="0.25"/>
    <row r="1227" ht="16.5" customHeight="1" x14ac:dyDescent="0.25"/>
    <row r="1228" ht="16.5" customHeight="1" x14ac:dyDescent="0.25"/>
    <row r="1229" ht="16.5" customHeight="1" x14ac:dyDescent="0.25"/>
    <row r="1230" ht="16.5" customHeight="1" x14ac:dyDescent="0.25"/>
    <row r="1231" ht="16.5" customHeight="1" x14ac:dyDescent="0.25"/>
    <row r="1232" ht="16.5" customHeight="1" x14ac:dyDescent="0.25"/>
    <row r="1233" ht="16.5" customHeight="1" x14ac:dyDescent="0.25"/>
    <row r="1234" ht="16.5" customHeight="1" x14ac:dyDescent="0.25"/>
    <row r="1235" ht="16.5" customHeight="1" x14ac:dyDescent="0.25"/>
    <row r="1236" ht="16.5" customHeight="1" x14ac:dyDescent="0.25"/>
    <row r="1237" ht="16.5" customHeight="1" x14ac:dyDescent="0.25"/>
    <row r="1238" ht="16.5" customHeight="1" x14ac:dyDescent="0.25"/>
    <row r="1239" ht="16.5" customHeight="1" x14ac:dyDescent="0.25"/>
    <row r="1240" ht="16.5" customHeight="1" x14ac:dyDescent="0.25"/>
    <row r="1241" ht="16.5" customHeight="1" x14ac:dyDescent="0.25"/>
    <row r="1242" ht="16.5" customHeight="1" x14ac:dyDescent="0.25"/>
    <row r="1243" ht="16.5" customHeight="1" x14ac:dyDescent="0.25"/>
    <row r="1244" ht="16.5" customHeight="1" x14ac:dyDescent="0.25"/>
    <row r="1245" ht="16.5" customHeight="1" x14ac:dyDescent="0.25"/>
    <row r="1246" ht="16.5" customHeight="1" x14ac:dyDescent="0.25"/>
    <row r="1247" ht="16.5" customHeight="1" x14ac:dyDescent="0.25"/>
    <row r="1248" ht="16.5" customHeight="1" x14ac:dyDescent="0.25"/>
    <row r="1249" ht="16.5" customHeight="1" x14ac:dyDescent="0.25"/>
    <row r="1250" ht="16.5" customHeight="1" x14ac:dyDescent="0.25"/>
    <row r="1251" ht="16.5" customHeight="1" x14ac:dyDescent="0.25"/>
    <row r="1252" ht="16.5" customHeight="1" x14ac:dyDescent="0.25"/>
    <row r="1253" ht="16.5" customHeight="1" x14ac:dyDescent="0.25"/>
    <row r="1254" ht="16.5" customHeight="1" x14ac:dyDescent="0.25"/>
    <row r="1255" ht="16.5" customHeight="1" x14ac:dyDescent="0.25"/>
    <row r="1256" ht="16.5" customHeight="1" x14ac:dyDescent="0.25"/>
    <row r="1257" ht="16.5" customHeight="1" x14ac:dyDescent="0.25"/>
    <row r="1258" ht="16.5" customHeight="1" x14ac:dyDescent="0.25"/>
    <row r="1259" ht="16.5" customHeight="1" x14ac:dyDescent="0.25"/>
    <row r="1260" ht="16.5" customHeight="1" x14ac:dyDescent="0.25"/>
    <row r="1261" ht="16.5" customHeight="1" x14ac:dyDescent="0.25"/>
    <row r="1262" ht="16.5" customHeight="1" x14ac:dyDescent="0.25"/>
    <row r="1263" ht="16.5" customHeight="1" x14ac:dyDescent="0.25"/>
    <row r="1264" ht="16.5" customHeight="1" x14ac:dyDescent="0.25"/>
    <row r="1265" ht="16.5" customHeight="1" x14ac:dyDescent="0.25"/>
    <row r="1266" ht="16.5" customHeight="1" x14ac:dyDescent="0.25"/>
    <row r="1267" ht="16.5" customHeight="1" x14ac:dyDescent="0.25"/>
    <row r="1268" ht="16.5" customHeight="1" x14ac:dyDescent="0.25"/>
    <row r="1269" ht="16.5" customHeight="1" x14ac:dyDescent="0.25"/>
    <row r="1270" ht="16.5" customHeight="1" x14ac:dyDescent="0.25"/>
    <row r="1271" ht="16.5" customHeight="1" x14ac:dyDescent="0.25"/>
    <row r="1272" ht="16.5" customHeight="1" x14ac:dyDescent="0.25"/>
    <row r="1273" ht="16.5" customHeight="1" x14ac:dyDescent="0.25"/>
    <row r="1274" ht="16.5" customHeight="1" x14ac:dyDescent="0.25"/>
    <row r="1275" ht="16.5" customHeight="1" x14ac:dyDescent="0.25"/>
    <row r="1276" ht="16.5" customHeight="1" x14ac:dyDescent="0.25"/>
    <row r="1277" ht="16.5" customHeight="1" x14ac:dyDescent="0.25"/>
    <row r="1278" ht="16.5" customHeight="1" x14ac:dyDescent="0.25"/>
    <row r="1279" ht="16.5" customHeight="1" x14ac:dyDescent="0.25"/>
    <row r="1280" ht="16.5" customHeight="1" x14ac:dyDescent="0.25"/>
    <row r="1281" ht="16.5" customHeight="1" x14ac:dyDescent="0.25"/>
    <row r="1282" ht="16.5" customHeight="1" x14ac:dyDescent="0.25"/>
    <row r="1283" ht="16.5" customHeight="1" x14ac:dyDescent="0.25"/>
    <row r="1284" ht="16.5" customHeight="1" x14ac:dyDescent="0.25"/>
    <row r="1285" ht="16.5" customHeight="1" x14ac:dyDescent="0.25"/>
    <row r="1286" ht="16.5" customHeight="1" x14ac:dyDescent="0.25"/>
    <row r="1287" ht="16.5" customHeight="1" x14ac:dyDescent="0.25"/>
    <row r="1288" ht="16.5" customHeight="1" x14ac:dyDescent="0.25"/>
    <row r="1289" ht="16.5" customHeight="1" x14ac:dyDescent="0.25"/>
    <row r="1290" ht="16.5" customHeight="1" x14ac:dyDescent="0.25"/>
    <row r="1291" ht="16.5" customHeight="1" x14ac:dyDescent="0.25"/>
    <row r="1292" ht="16.5" customHeight="1" x14ac:dyDescent="0.25"/>
    <row r="1293" ht="16.5" customHeight="1" x14ac:dyDescent="0.25"/>
    <row r="1294" ht="16.5" customHeight="1" x14ac:dyDescent="0.25"/>
    <row r="1295" ht="16.5" customHeight="1" x14ac:dyDescent="0.25"/>
    <row r="1296" ht="16.5" customHeight="1" x14ac:dyDescent="0.25"/>
    <row r="1297" ht="16.5" customHeight="1" x14ac:dyDescent="0.25"/>
    <row r="1298" ht="16.5" customHeight="1" x14ac:dyDescent="0.25"/>
    <row r="1299" ht="16.5" customHeight="1" x14ac:dyDescent="0.25"/>
    <row r="1300" ht="16.5" customHeight="1" x14ac:dyDescent="0.25"/>
    <row r="1301" ht="16.5" customHeight="1" x14ac:dyDescent="0.25"/>
    <row r="1302" ht="16.5" customHeight="1" x14ac:dyDescent="0.25"/>
    <row r="1303" ht="16.5" customHeight="1" x14ac:dyDescent="0.25"/>
    <row r="1304" ht="16.5" customHeight="1" x14ac:dyDescent="0.25"/>
    <row r="1305" ht="16.5" customHeight="1" x14ac:dyDescent="0.25"/>
    <row r="1306" ht="16.5" customHeight="1" x14ac:dyDescent="0.25"/>
    <row r="1307" ht="16.5" customHeight="1" x14ac:dyDescent="0.25"/>
    <row r="1308" ht="16.5" customHeight="1" x14ac:dyDescent="0.25"/>
    <row r="1309" ht="16.5" customHeight="1" x14ac:dyDescent="0.25"/>
    <row r="1310" ht="16.5" customHeight="1" x14ac:dyDescent="0.25"/>
    <row r="1311" ht="16.5" customHeight="1" x14ac:dyDescent="0.25"/>
    <row r="1312" ht="16.5" customHeight="1" x14ac:dyDescent="0.25"/>
    <row r="1313" ht="16.5" customHeight="1" x14ac:dyDescent="0.25"/>
    <row r="1314" ht="16.5" customHeight="1" x14ac:dyDescent="0.25"/>
    <row r="1315" ht="16.5" customHeight="1" x14ac:dyDescent="0.25"/>
    <row r="1316" ht="16.5" customHeight="1" x14ac:dyDescent="0.25"/>
    <row r="1317" ht="16.5" customHeight="1" x14ac:dyDescent="0.25"/>
    <row r="1318" ht="16.5" customHeight="1" x14ac:dyDescent="0.25"/>
    <row r="1319" ht="16.5" customHeight="1" x14ac:dyDescent="0.25"/>
    <row r="1320" ht="16.5" customHeight="1" x14ac:dyDescent="0.25"/>
    <row r="1321" ht="16.5" customHeight="1" x14ac:dyDescent="0.25"/>
    <row r="1322" ht="18" customHeight="1" s="61" customFormat="1" x14ac:dyDescent="0.25"/>
    <row r="1323" ht="18" customHeight="1" s="61" customFormat="1" x14ac:dyDescent="0.25"/>
    <row r="1324" ht="18" customHeight="1" s="61" customFormat="1" x14ac:dyDescent="0.25"/>
    <row r="1325" ht="18" customHeight="1" s="61" customFormat="1" x14ac:dyDescent="0.25"/>
    <row r="1326" ht="18" customHeight="1" s="61" customFormat="1" x14ac:dyDescent="0.25"/>
    <row r="1327" ht="18" customHeight="1" s="61" customFormat="1" x14ac:dyDescent="0.25"/>
    <row r="1328" ht="18" customHeight="1" s="61" customFormat="1" x14ac:dyDescent="0.25"/>
    <row r="1329" ht="18" customHeight="1" s="61" customFormat="1" x14ac:dyDescent="0.25"/>
    <row r="1330" ht="18" customHeight="1" s="61" customFormat="1" x14ac:dyDescent="0.25"/>
    <row r="1331" ht="18" customHeight="1" s="61" customFormat="1" x14ac:dyDescent="0.25"/>
    <row r="1332" ht="18" customHeight="1" s="61" customFormat="1" x14ac:dyDescent="0.25"/>
    <row r="1333" ht="18" customHeight="1" s="61" customFormat="1" x14ac:dyDescent="0.25"/>
    <row r="1334" ht="18" customHeight="1" s="61" customFormat="1" x14ac:dyDescent="0.25"/>
    <row r="1335" ht="18" customHeight="1" s="61" customFormat="1" x14ac:dyDescent="0.25"/>
    <row r="1336" ht="18" customHeight="1" s="61" customFormat="1" x14ac:dyDescent="0.25"/>
    <row r="1337" ht="18" customHeight="1" s="61" customFormat="1" x14ac:dyDescent="0.25"/>
    <row r="1338" ht="18" customHeight="1" s="61" customFormat="1" x14ac:dyDescent="0.25"/>
    <row r="1339" ht="18" customHeight="1" s="61" customFormat="1" x14ac:dyDescent="0.25"/>
    <row r="1340" ht="18" customHeight="1" s="61" customFormat="1" x14ac:dyDescent="0.25"/>
    <row r="1341" ht="18" customHeight="1" s="61" customFormat="1" x14ac:dyDescent="0.25"/>
    <row r="1342" ht="18" customHeight="1" s="61" customFormat="1" x14ac:dyDescent="0.25"/>
    <row r="1343" ht="18" customHeight="1" s="61" customFormat="1" x14ac:dyDescent="0.25"/>
    <row r="1344" ht="18" customHeight="1" s="61" customFormat="1" x14ac:dyDescent="0.25"/>
    <row r="1345" ht="18" customHeight="1" s="61" customFormat="1" x14ac:dyDescent="0.25"/>
    <row r="1346" ht="18" customHeight="1" s="61" customFormat="1" x14ac:dyDescent="0.25"/>
    <row r="1347" ht="18" customHeight="1" s="61" customFormat="1" x14ac:dyDescent="0.25"/>
    <row r="1348" ht="18" customHeight="1" s="61" customFormat="1" x14ac:dyDescent="0.25"/>
    <row r="1349" ht="18" customHeight="1" s="61" customFormat="1" x14ac:dyDescent="0.25"/>
    <row r="1350" ht="18" customHeight="1" s="61" customFormat="1" x14ac:dyDescent="0.25"/>
    <row r="1351" ht="18" customHeight="1" s="61" customFormat="1" x14ac:dyDescent="0.25"/>
    <row r="1352" ht="18" customHeight="1" s="61" customFormat="1" x14ac:dyDescent="0.25"/>
    <row r="1353" ht="16.5" customHeight="1" s="61" customFormat="1" x14ac:dyDescent="0.25"/>
    <row r="1354" ht="16.5" customHeight="1" s="61" customFormat="1" x14ac:dyDescent="0.25"/>
    <row r="1355" ht="16.5" customHeight="1" s="61" customFormat="1" x14ac:dyDescent="0.25"/>
    <row r="1356" ht="16.5" customHeight="1" s="61" customFormat="1" x14ac:dyDescent="0.25"/>
    <row r="1357" ht="16.5" customHeight="1" s="61" customFormat="1" x14ac:dyDescent="0.25"/>
    <row r="1358" ht="16.5" customHeight="1" s="61" customFormat="1" x14ac:dyDescent="0.25"/>
    <row r="1359" ht="16.5" customHeight="1" s="61" customFormat="1" x14ac:dyDescent="0.25"/>
    <row r="1360" ht="16.5" customHeight="1" s="61" customFormat="1" x14ac:dyDescent="0.25"/>
    <row r="1361" ht="16.5" customHeight="1" s="61" customFormat="1" x14ac:dyDescent="0.25"/>
    <row r="1362" ht="16.5" customHeight="1" s="61" customFormat="1" x14ac:dyDescent="0.25"/>
    <row r="1363" ht="16.5" customHeight="1" s="61" customFormat="1" x14ac:dyDescent="0.25"/>
    <row r="1364" ht="16.5" customHeight="1" s="61" customFormat="1" x14ac:dyDescent="0.25"/>
    <row r="1365" ht="16.5" customHeight="1" s="61" customFormat="1" x14ac:dyDescent="0.25"/>
    <row r="1366" ht="16.5" customHeight="1" s="61" customFormat="1" x14ac:dyDescent="0.25"/>
    <row r="1367" ht="16.5" customHeight="1" s="61" customFormat="1" x14ac:dyDescent="0.25"/>
    <row r="1368" ht="16.5" customHeight="1" s="61" customFormat="1" x14ac:dyDescent="0.25"/>
    <row r="1369" ht="16.5" customHeight="1" s="61" customFormat="1" x14ac:dyDescent="0.25"/>
    <row r="1370" ht="16.5" customHeight="1" s="61" customFormat="1" x14ac:dyDescent="0.25"/>
    <row r="1371" ht="16.5" customHeight="1" s="61" customFormat="1" x14ac:dyDescent="0.25"/>
    <row r="1372" ht="16.5" customHeight="1" s="61" customFormat="1" x14ac:dyDescent="0.25"/>
    <row r="1373" ht="16.5" customHeight="1" s="61" customFormat="1" x14ac:dyDescent="0.25"/>
    <row r="1374" ht="16.5" customHeight="1" s="61" customFormat="1" x14ac:dyDescent="0.25"/>
    <row r="1375" ht="16.5" customHeight="1" s="61" customFormat="1" x14ac:dyDescent="0.25"/>
    <row r="1376" ht="16.5" customHeight="1" s="61" customFormat="1" x14ac:dyDescent="0.25"/>
    <row r="1377" ht="16.5" customHeight="1" s="61" customFormat="1" x14ac:dyDescent="0.25"/>
    <row r="1378" ht="16.5" customHeight="1" s="61" customFormat="1" x14ac:dyDescent="0.25"/>
    <row r="1379" ht="16.5" customHeight="1" s="61" customFormat="1" x14ac:dyDescent="0.25"/>
    <row r="1380" ht="16.5" customHeight="1" s="61" customFormat="1" x14ac:dyDescent="0.25"/>
    <row r="1381" ht="16.5" customHeight="1" s="61" customFormat="1" x14ac:dyDescent="0.25"/>
    <row r="1382" ht="16.5" customHeight="1" s="61" customFormat="1" x14ac:dyDescent="0.25"/>
    <row r="1383" ht="16.5" customHeight="1" s="61" customFormat="1" x14ac:dyDescent="0.25"/>
    <row r="1384" ht="16.5" customHeight="1" s="61" customFormat="1" x14ac:dyDescent="0.25"/>
    <row r="1385" ht="16.5" customHeight="1" s="61" customFormat="1" x14ac:dyDescent="0.25"/>
    <row r="1386" ht="16.5" customHeight="1" s="61" customFormat="1" x14ac:dyDescent="0.25"/>
    <row r="1387" ht="16.5" customHeight="1" s="61" customFormat="1" x14ac:dyDescent="0.25"/>
    <row r="1388" ht="16.5" customHeight="1" s="61" customFormat="1" x14ac:dyDescent="0.25"/>
    <row r="1389" ht="16.5" customHeight="1" s="61" customFormat="1" x14ac:dyDescent="0.25"/>
    <row r="1390" ht="16.5" customHeight="1" s="61" customFormat="1" x14ac:dyDescent="0.25"/>
    <row r="1391" ht="16.5" customHeight="1" s="61" customFormat="1" x14ac:dyDescent="0.25"/>
    <row r="1392" ht="16.5" customHeight="1" s="61" customFormat="1" x14ac:dyDescent="0.25"/>
    <row r="1393" ht="16.5" customHeight="1" s="61" customFormat="1" x14ac:dyDescent="0.25"/>
    <row r="1394" ht="16.5" customHeight="1" s="61" customFormat="1" x14ac:dyDescent="0.25"/>
    <row r="1395" ht="16.5" customHeight="1" s="61" customFormat="1" x14ac:dyDescent="0.25"/>
    <row r="1396" ht="16.5" customHeight="1" s="61" customFormat="1" x14ac:dyDescent="0.25"/>
    <row r="1397" ht="16.5" customHeight="1" s="61" customFormat="1" x14ac:dyDescent="0.25"/>
    <row r="1398" ht="16.5" customHeight="1" s="61" customFormat="1" x14ac:dyDescent="0.25"/>
    <row r="1399" ht="16.5" customHeight="1" s="61" customFormat="1" x14ac:dyDescent="0.25"/>
    <row r="1400" ht="16.5" customHeight="1" s="61" customFormat="1" x14ac:dyDescent="0.25"/>
    <row r="1401" ht="16.5" customHeight="1" s="61" customFormat="1" x14ac:dyDescent="0.25"/>
  </sheetData>
  <pageMargins left="0.7" right="0.7" top="0.75" bottom="0.75" header="0.3" footer="0.3"/>
  <pageSetup paperSize="9" orientation="portrait" horizontalDpi="4294967293" verticalDpi="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Q8395"/>
  <sheetViews>
    <sheetView workbookViewId="0" zoomScale="70" zoomScaleNormal="70">
      <selection activeCell="J170" sqref="J170"/>
    </sheetView>
  </sheetViews>
  <sheetFormatPr defaultRowHeight="16.5" outlineLevelRow="0" outlineLevelCol="0" x14ac:dyDescent="0" customHeight="1"/>
  <cols>
    <col min="1" max="1" width="67.25" customWidth="1"/>
    <col min="2" max="2" width="37.875" customWidth="1"/>
  </cols>
  <sheetData>
    <row r="1" ht="15" customHeight="1" spans="1:17" x14ac:dyDescent="0.25">
      <c r="A1" s="57" t="s">
        <v>187</v>
      </c>
      <c r="B1" s="57" t="s">
        <v>188</v>
      </c>
      <c r="C1" s="57" t="s">
        <v>189</v>
      </c>
      <c r="D1" s="57" t="s">
        <v>17</v>
      </c>
      <c r="E1" s="57" t="s">
        <v>11</v>
      </c>
      <c r="F1" s="58" t="s">
        <v>44</v>
      </c>
      <c r="G1" s="58" t="s">
        <v>190</v>
      </c>
      <c r="H1" s="58" t="s">
        <v>191</v>
      </c>
      <c r="I1" s="58" t="s">
        <v>192</v>
      </c>
      <c r="J1" s="58" t="s">
        <v>193</v>
      </c>
      <c r="K1" s="58" t="s">
        <v>194</v>
      </c>
      <c r="L1" s="58" t="s">
        <v>195</v>
      </c>
      <c r="M1" s="58" t="s">
        <v>196</v>
      </c>
      <c r="N1" s="58" t="s">
        <v>197</v>
      </c>
      <c r="O1" s="58" t="s">
        <v>198</v>
      </c>
      <c r="P1" s="58" t="s">
        <v>199</v>
      </c>
      <c r="Q1" s="58" t="s">
        <v>200</v>
      </c>
    </row>
    <row r="2" ht="15" customHeight="1" x14ac:dyDescent="0.25"/>
    <row r="3" ht="15" customHeight="1" x14ac:dyDescent="0.25"/>
    <row r="4" ht="15" customHeight="1" x14ac:dyDescent="0.25"/>
    <row r="5" ht="15" customHeight="1" x14ac:dyDescent="0.25"/>
    <row r="6" ht="15" customHeight="1" x14ac:dyDescent="0.25"/>
    <row r="7" ht="15" customHeight="1" x14ac:dyDescent="0.25"/>
    <row r="8" ht="15" customHeight="1" x14ac:dyDescent="0.25"/>
    <row r="9" ht="15" customHeight="1" x14ac:dyDescent="0.25"/>
    <row r="10" ht="15" customHeight="1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  <row r="15" ht="15" customHeight="1" x14ac:dyDescent="0.25"/>
    <row r="16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ht="15" customHeight="1" x14ac:dyDescent="0.25"/>
    <row r="706" ht="15" customHeight="1" x14ac:dyDescent="0.25"/>
    <row r="707" ht="15" customHeight="1" x14ac:dyDescent="0.25"/>
    <row r="708" ht="15" customHeight="1" x14ac:dyDescent="0.25"/>
    <row r="709" ht="15" customHeight="1" x14ac:dyDescent="0.25"/>
    <row r="710" ht="15" customHeight="1" x14ac:dyDescent="0.25"/>
    <row r="711" ht="15" customHeight="1" x14ac:dyDescent="0.25"/>
    <row r="712" ht="15" customHeight="1" x14ac:dyDescent="0.25"/>
    <row r="713" ht="15" customHeight="1" x14ac:dyDescent="0.25"/>
    <row r="714" ht="15" customHeight="1" x14ac:dyDescent="0.25"/>
    <row r="715" ht="15" customHeight="1" x14ac:dyDescent="0.25"/>
    <row r="716" ht="15" customHeight="1" x14ac:dyDescent="0.25"/>
    <row r="717" ht="15" customHeight="1" x14ac:dyDescent="0.25"/>
    <row r="718" ht="15" customHeight="1" x14ac:dyDescent="0.25"/>
    <row r="719" ht="15" customHeight="1" x14ac:dyDescent="0.25"/>
    <row r="720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33" ht="15" customHeight="1" x14ac:dyDescent="0.25"/>
    <row r="734" ht="15" customHeight="1" x14ac:dyDescent="0.25"/>
    <row r="735" ht="15" customHeight="1" x14ac:dyDescent="0.25"/>
    <row r="736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  <row r="741" ht="15" customHeight="1" x14ac:dyDescent="0.25"/>
    <row r="742" ht="15" customHeight="1" x14ac:dyDescent="0.25"/>
    <row r="743" ht="15" customHeight="1" x14ac:dyDescent="0.25"/>
    <row r="744" ht="15" customHeight="1" x14ac:dyDescent="0.25"/>
    <row r="745" ht="15" customHeight="1" x14ac:dyDescent="0.25"/>
    <row r="746" ht="15" customHeight="1" x14ac:dyDescent="0.25"/>
    <row r="747" ht="15" customHeight="1" x14ac:dyDescent="0.25"/>
    <row r="748" ht="15" customHeight="1" x14ac:dyDescent="0.25"/>
    <row r="749" ht="15" customHeight="1" x14ac:dyDescent="0.25"/>
    <row r="750" ht="15" customHeight="1" x14ac:dyDescent="0.25"/>
    <row r="751" ht="15" customHeight="1" x14ac:dyDescent="0.25"/>
    <row r="752" ht="15" customHeight="1" x14ac:dyDescent="0.25"/>
    <row r="753" ht="15" customHeight="1" x14ac:dyDescent="0.25"/>
    <row r="754" ht="15" customHeight="1" x14ac:dyDescent="0.25"/>
    <row r="755" ht="15" customHeight="1" x14ac:dyDescent="0.25"/>
    <row r="756" ht="15" customHeight="1" x14ac:dyDescent="0.25"/>
    <row r="757" ht="15" customHeight="1" x14ac:dyDescent="0.25"/>
    <row r="758" ht="15" customHeight="1" x14ac:dyDescent="0.25"/>
    <row r="759" ht="15" customHeight="1" x14ac:dyDescent="0.25"/>
    <row r="760" ht="15" customHeight="1" x14ac:dyDescent="0.25"/>
    <row r="761" ht="15" customHeight="1" x14ac:dyDescent="0.25"/>
    <row r="762" ht="15" customHeight="1" x14ac:dyDescent="0.25"/>
    <row r="763" ht="15" customHeight="1" x14ac:dyDescent="0.25"/>
    <row r="764" ht="15" customHeight="1" x14ac:dyDescent="0.25"/>
    <row r="765" ht="15" customHeight="1" x14ac:dyDescent="0.25"/>
    <row r="766" ht="15" customHeight="1" x14ac:dyDescent="0.25"/>
    <row r="767" ht="15" customHeight="1" x14ac:dyDescent="0.25"/>
    <row r="768" ht="15" customHeight="1" x14ac:dyDescent="0.25"/>
    <row r="769" ht="15" customHeight="1" x14ac:dyDescent="0.25"/>
    <row r="770" ht="15" customHeight="1" x14ac:dyDescent="0.25"/>
    <row r="771" ht="15" customHeight="1" x14ac:dyDescent="0.25"/>
    <row r="772" ht="15" customHeight="1" x14ac:dyDescent="0.25"/>
    <row r="773" ht="15" customHeight="1" x14ac:dyDescent="0.25"/>
    <row r="774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1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6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1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7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5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1" ht="15" customHeight="1" x14ac:dyDescent="0.25"/>
    <row r="822" ht="15" customHeight="1" x14ac:dyDescent="0.25"/>
    <row r="823" ht="15" customHeight="1" x14ac:dyDescent="0.25"/>
    <row r="824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39" ht="15" customHeight="1" x14ac:dyDescent="0.25"/>
    <row r="840" ht="15" customHeight="1" x14ac:dyDescent="0.25"/>
    <row r="841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6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2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4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ht="15" customHeight="1" x14ac:dyDescent="0.25"/>
    <row r="882" ht="15" customHeight="1" x14ac:dyDescent="0.25"/>
    <row r="883" ht="15" customHeight="1" x14ac:dyDescent="0.25"/>
    <row r="884" ht="15" customHeight="1" x14ac:dyDescent="0.25"/>
    <row r="885" ht="15" customHeight="1" x14ac:dyDescent="0.25"/>
    <row r="886" ht="15" customHeight="1" x14ac:dyDescent="0.25"/>
    <row r="887" ht="15" customHeight="1" x14ac:dyDescent="0.25"/>
    <row r="888" ht="15" customHeight="1" x14ac:dyDescent="0.25"/>
    <row r="889" ht="15" customHeight="1" x14ac:dyDescent="0.25"/>
    <row r="890" ht="15" customHeight="1" x14ac:dyDescent="0.25"/>
    <row r="891" ht="15" customHeight="1" x14ac:dyDescent="0.25"/>
    <row r="892" ht="15" customHeight="1" x14ac:dyDescent="0.25"/>
    <row r="893" ht="15" customHeight="1" x14ac:dyDescent="0.25"/>
    <row r="894" ht="15" customHeight="1" x14ac:dyDescent="0.25"/>
    <row r="895" ht="15" customHeight="1" x14ac:dyDescent="0.25"/>
    <row r="896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06" ht="15" customHeight="1" x14ac:dyDescent="0.25"/>
    <row r="907" ht="15" customHeight="1" x14ac:dyDescent="0.25"/>
    <row r="908" ht="15" customHeight="1" x14ac:dyDescent="0.25"/>
    <row r="909" ht="15" customHeight="1" x14ac:dyDescent="0.25"/>
    <row r="910" ht="15" customHeight="1" x14ac:dyDescent="0.25"/>
    <row r="911" ht="15" customHeight="1" x14ac:dyDescent="0.25"/>
    <row r="912" ht="15" customHeight="1" x14ac:dyDescent="0.25"/>
    <row r="913" ht="15" customHeight="1" x14ac:dyDescent="0.25"/>
    <row r="914" ht="15" customHeight="1" x14ac:dyDescent="0.25"/>
    <row r="915" ht="15" customHeight="1" x14ac:dyDescent="0.25"/>
    <row r="916" ht="15" customHeight="1" x14ac:dyDescent="0.25"/>
    <row r="917" ht="15" customHeight="1" x14ac:dyDescent="0.25"/>
    <row r="918" ht="15" customHeight="1" x14ac:dyDescent="0.25"/>
    <row r="919" ht="15" customHeight="1" x14ac:dyDescent="0.25"/>
    <row r="920" ht="15" customHeight="1" x14ac:dyDescent="0.25"/>
    <row r="921" ht="15" customHeight="1" x14ac:dyDescent="0.25"/>
    <row r="922" ht="15" customHeight="1" x14ac:dyDescent="0.25"/>
    <row r="923" ht="15" customHeight="1" x14ac:dyDescent="0.25"/>
    <row r="924" ht="15" customHeight="1" x14ac:dyDescent="0.25"/>
    <row r="925" ht="15" customHeight="1" x14ac:dyDescent="0.25"/>
    <row r="926" ht="15" customHeight="1" x14ac:dyDescent="0.25"/>
    <row r="927" ht="15" customHeight="1" x14ac:dyDescent="0.25"/>
    <row r="928" ht="15" customHeight="1" x14ac:dyDescent="0.25"/>
    <row r="929" ht="15" customHeight="1" x14ac:dyDescent="0.25"/>
    <row r="930" ht="15" customHeight="1" x14ac:dyDescent="0.25"/>
    <row r="931" ht="15" customHeight="1" x14ac:dyDescent="0.25"/>
    <row r="932" ht="15" customHeight="1" x14ac:dyDescent="0.25"/>
    <row r="933" ht="15" customHeight="1" x14ac:dyDescent="0.25"/>
    <row r="934" ht="15" customHeight="1" x14ac:dyDescent="0.25"/>
    <row r="935" ht="15" customHeight="1" x14ac:dyDescent="0.25"/>
    <row r="936" ht="15" customHeight="1" x14ac:dyDescent="0.25"/>
    <row r="937" ht="15" customHeight="1" x14ac:dyDescent="0.25"/>
    <row r="938" ht="15" customHeight="1" x14ac:dyDescent="0.25"/>
    <row r="939" ht="15" customHeight="1" x14ac:dyDescent="0.25"/>
    <row r="940" ht="15" customHeight="1" x14ac:dyDescent="0.25"/>
    <row r="941" ht="15" customHeight="1" x14ac:dyDescent="0.25"/>
    <row r="942" ht="15" customHeight="1" x14ac:dyDescent="0.25"/>
    <row r="943" ht="15" customHeight="1" x14ac:dyDescent="0.25"/>
    <row r="944" ht="15" customHeight="1" x14ac:dyDescent="0.25"/>
    <row r="945" ht="15" customHeight="1" x14ac:dyDescent="0.25"/>
    <row r="946" ht="15" customHeight="1" x14ac:dyDescent="0.25"/>
    <row r="947" ht="15" customHeight="1" x14ac:dyDescent="0.25"/>
    <row r="948" ht="15" customHeight="1" x14ac:dyDescent="0.25"/>
    <row r="949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0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6" ht="15" customHeight="1" x14ac:dyDescent="0.25"/>
    <row r="987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4" ht="15" customHeight="1" x14ac:dyDescent="0.25"/>
    <row r="1015" ht="15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  <row r="1021" ht="1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6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5" ht="15" customHeight="1" x14ac:dyDescent="0.25"/>
    <row r="1066" ht="15" customHeight="1" x14ac:dyDescent="0.25"/>
    <row r="1067" ht="15" customHeight="1" x14ac:dyDescent="0.25"/>
    <row r="1068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ht="15" customHeight="1" x14ac:dyDescent="0.25"/>
    <row r="1074" ht="15" customHeight="1" x14ac:dyDescent="0.25"/>
    <row r="1075" ht="15" customHeight="1" x14ac:dyDescent="0.25"/>
    <row r="1076" ht="15" customHeight="1" x14ac:dyDescent="0.25"/>
    <row r="1077" ht="15" customHeight="1" x14ac:dyDescent="0.25"/>
    <row r="1078" ht="15" customHeight="1" x14ac:dyDescent="0.25"/>
    <row r="1079" ht="15" customHeight="1" x14ac:dyDescent="0.25"/>
    <row r="1080" ht="15" customHeight="1" x14ac:dyDescent="0.25"/>
    <row r="1081" ht="15" customHeight="1" x14ac:dyDescent="0.25"/>
    <row r="1082" ht="15" customHeight="1" x14ac:dyDescent="0.25"/>
    <row r="1083" ht="15" customHeight="1" x14ac:dyDescent="0.25"/>
    <row r="1084" ht="15" customHeight="1" x14ac:dyDescent="0.25"/>
    <row r="1085" ht="15" customHeight="1" x14ac:dyDescent="0.25"/>
    <row r="1086" ht="15" customHeight="1" x14ac:dyDescent="0.25"/>
    <row r="1087" ht="15" customHeight="1" x14ac:dyDescent="0.25"/>
    <row r="1088" ht="15" customHeight="1" x14ac:dyDescent="0.25"/>
    <row r="1089" ht="15" customHeight="1" x14ac:dyDescent="0.25"/>
    <row r="1090" ht="15" customHeight="1" x14ac:dyDescent="0.25"/>
    <row r="1091" ht="15" customHeight="1" x14ac:dyDescent="0.25"/>
    <row r="1092" ht="15" customHeight="1" x14ac:dyDescent="0.25"/>
    <row r="1093" ht="15" customHeight="1" x14ac:dyDescent="0.25"/>
    <row r="1094" ht="15" customHeight="1" x14ac:dyDescent="0.25"/>
    <row r="1095" ht="15" customHeight="1" x14ac:dyDescent="0.25"/>
    <row r="1096" ht="15" customHeight="1" x14ac:dyDescent="0.25"/>
    <row r="1097" ht="15" customHeight="1" x14ac:dyDescent="0.25"/>
    <row r="1098" ht="15" customHeight="1" x14ac:dyDescent="0.25"/>
    <row r="1099" ht="15" customHeight="1" x14ac:dyDescent="0.25"/>
    <row r="1100" ht="15" customHeight="1" x14ac:dyDescent="0.25"/>
    <row r="1101" ht="15" customHeight="1" x14ac:dyDescent="0.25"/>
    <row r="1102" ht="15" customHeight="1" x14ac:dyDescent="0.25"/>
    <row r="1103" ht="15" customHeight="1" x14ac:dyDescent="0.25"/>
    <row r="1104" ht="15" customHeight="1" x14ac:dyDescent="0.25"/>
    <row r="1105" ht="15" customHeight="1" x14ac:dyDescent="0.25"/>
    <row r="1106" ht="15" customHeight="1" x14ac:dyDescent="0.25"/>
    <row r="1107" ht="15" customHeight="1" x14ac:dyDescent="0.25"/>
    <row r="1108" ht="15" customHeight="1" x14ac:dyDescent="0.25"/>
    <row r="1109" ht="15" customHeight="1" x14ac:dyDescent="0.25"/>
    <row r="1110" ht="15" customHeight="1" x14ac:dyDescent="0.25"/>
    <row r="1111" ht="15" customHeight="1" x14ac:dyDescent="0.25"/>
    <row r="1112" ht="15" customHeight="1" x14ac:dyDescent="0.25"/>
    <row r="1113" ht="15" customHeight="1" x14ac:dyDescent="0.25"/>
    <row r="1114" ht="15" customHeight="1" x14ac:dyDescent="0.25"/>
    <row r="1115" ht="15" customHeight="1" x14ac:dyDescent="0.25"/>
    <row r="1116" ht="15" customHeight="1" x14ac:dyDescent="0.25"/>
    <row r="1117" ht="15" customHeight="1" x14ac:dyDescent="0.25"/>
    <row r="1118" ht="15" customHeight="1" x14ac:dyDescent="0.25"/>
    <row r="1119" ht="15" customHeight="1" x14ac:dyDescent="0.25"/>
    <row r="1120" ht="15" customHeight="1" x14ac:dyDescent="0.25"/>
    <row r="1121" ht="15" customHeight="1" x14ac:dyDescent="0.25"/>
    <row r="1122" ht="15" customHeight="1" x14ac:dyDescent="0.25"/>
    <row r="1123" ht="15" customHeight="1" x14ac:dyDescent="0.25"/>
    <row r="1124" ht="15" customHeight="1" x14ac:dyDescent="0.25"/>
    <row r="1125" ht="15" customHeight="1" x14ac:dyDescent="0.25"/>
    <row r="1126" ht="15" customHeight="1" x14ac:dyDescent="0.25"/>
    <row r="1127" ht="15" customHeight="1" x14ac:dyDescent="0.25"/>
    <row r="1128" ht="15" customHeight="1" x14ac:dyDescent="0.25"/>
    <row r="1129" ht="15" customHeight="1" x14ac:dyDescent="0.25"/>
    <row r="1130" ht="15" customHeight="1" x14ac:dyDescent="0.25"/>
    <row r="1131" ht="15" customHeight="1" x14ac:dyDescent="0.25"/>
    <row r="1132" ht="15" customHeight="1" x14ac:dyDescent="0.25"/>
    <row r="1133" ht="15" customHeight="1" x14ac:dyDescent="0.25"/>
    <row r="1134" ht="15" customHeight="1" x14ac:dyDescent="0.25"/>
    <row r="1135" ht="15" customHeight="1" x14ac:dyDescent="0.25"/>
    <row r="1136" ht="15" customHeight="1" x14ac:dyDescent="0.25"/>
    <row r="1137" ht="15" customHeight="1" x14ac:dyDescent="0.25"/>
    <row r="1138" ht="15" customHeight="1" x14ac:dyDescent="0.25"/>
    <row r="1139" ht="15" customHeight="1" x14ac:dyDescent="0.25"/>
    <row r="1140" ht="15" customHeight="1" x14ac:dyDescent="0.25"/>
    <row r="1141" ht="15" customHeight="1" x14ac:dyDescent="0.25"/>
    <row r="1142" ht="15" customHeight="1" x14ac:dyDescent="0.25"/>
    <row r="1143" ht="15" customHeight="1" x14ac:dyDescent="0.25"/>
    <row r="1144" ht="15" customHeight="1" x14ac:dyDescent="0.25"/>
    <row r="1145" ht="15" customHeight="1" x14ac:dyDescent="0.25"/>
    <row r="1146" ht="15" customHeight="1" x14ac:dyDescent="0.25"/>
    <row r="1147" ht="15" customHeight="1" x14ac:dyDescent="0.25"/>
    <row r="1148" ht="15" customHeight="1" x14ac:dyDescent="0.25"/>
    <row r="1149" ht="15" customHeight="1" x14ac:dyDescent="0.25"/>
    <row r="1150" ht="15" customHeight="1" x14ac:dyDescent="0.25"/>
    <row r="1151" ht="15" customHeight="1" x14ac:dyDescent="0.25"/>
    <row r="1152" ht="15" customHeight="1" x14ac:dyDescent="0.25"/>
    <row r="1153" ht="15" customHeight="1" x14ac:dyDescent="0.25"/>
    <row r="1154" ht="15" customHeight="1" x14ac:dyDescent="0.25"/>
    <row r="1155" ht="15" customHeight="1" x14ac:dyDescent="0.25"/>
    <row r="1156" ht="15" customHeight="1" x14ac:dyDescent="0.25"/>
    <row r="1157" ht="15" customHeight="1" x14ac:dyDescent="0.25"/>
    <row r="1158" ht="15" customHeight="1" x14ac:dyDescent="0.25"/>
    <row r="1159" ht="15" customHeight="1" x14ac:dyDescent="0.25"/>
    <row r="1160" ht="15" customHeight="1" x14ac:dyDescent="0.25"/>
    <row r="1161" ht="15" customHeight="1" x14ac:dyDescent="0.25"/>
    <row r="1162" ht="15" customHeight="1" x14ac:dyDescent="0.25"/>
    <row r="1163" ht="15" customHeight="1" x14ac:dyDescent="0.25"/>
    <row r="1164" ht="15" customHeight="1" x14ac:dyDescent="0.25"/>
    <row r="1165" ht="15" customHeight="1" x14ac:dyDescent="0.25"/>
    <row r="1166" ht="15" customHeight="1" x14ac:dyDescent="0.25"/>
    <row r="1167" ht="15" customHeight="1" x14ac:dyDescent="0.25"/>
    <row r="1168" ht="15" customHeight="1" x14ac:dyDescent="0.25"/>
    <row r="1169" ht="15" customHeight="1" x14ac:dyDescent="0.25"/>
    <row r="1170" ht="15" customHeight="1" x14ac:dyDescent="0.25"/>
    <row r="1171" ht="15" customHeight="1" x14ac:dyDescent="0.25"/>
    <row r="1172" ht="15" customHeight="1" x14ac:dyDescent="0.25"/>
    <row r="1173" ht="15" customHeight="1" x14ac:dyDescent="0.25"/>
    <row r="1174" ht="15" customHeight="1" x14ac:dyDescent="0.25"/>
    <row r="1175" ht="15" customHeight="1" x14ac:dyDescent="0.25"/>
    <row r="1176" ht="15" customHeight="1" x14ac:dyDescent="0.25"/>
    <row r="1177" ht="15" customHeight="1" x14ac:dyDescent="0.25"/>
    <row r="1178" ht="15" customHeight="1" x14ac:dyDescent="0.25"/>
    <row r="1179" ht="15" customHeight="1" x14ac:dyDescent="0.25"/>
    <row r="1180" ht="15" customHeight="1" x14ac:dyDescent="0.25"/>
    <row r="1181" ht="15" customHeight="1" x14ac:dyDescent="0.25"/>
    <row r="1182" ht="15" customHeight="1" x14ac:dyDescent="0.25"/>
    <row r="1183" ht="15" customHeight="1" x14ac:dyDescent="0.25"/>
    <row r="1184" ht="15" customHeight="1" x14ac:dyDescent="0.25"/>
    <row r="1185" ht="15" customHeight="1" x14ac:dyDescent="0.25"/>
    <row r="1186" ht="15" customHeight="1" x14ac:dyDescent="0.25"/>
    <row r="1187" ht="15" customHeight="1" x14ac:dyDescent="0.25"/>
    <row r="1188" ht="15" customHeight="1" x14ac:dyDescent="0.25"/>
    <row r="1189" ht="15" customHeight="1" x14ac:dyDescent="0.25"/>
    <row r="1190" ht="15" customHeight="1" x14ac:dyDescent="0.25"/>
    <row r="1191" ht="15" customHeight="1" x14ac:dyDescent="0.25"/>
    <row r="1192" ht="15" customHeight="1" x14ac:dyDescent="0.25"/>
    <row r="1193" ht="15" customHeight="1" x14ac:dyDescent="0.25"/>
    <row r="1194" ht="15" customHeight="1" x14ac:dyDescent="0.25"/>
    <row r="1195" ht="15" customHeight="1" x14ac:dyDescent="0.25"/>
    <row r="1196" ht="15" customHeight="1" x14ac:dyDescent="0.25"/>
    <row r="1197" ht="15" customHeight="1" x14ac:dyDescent="0.25"/>
    <row r="1198" ht="15" customHeight="1" x14ac:dyDescent="0.25"/>
    <row r="1199" ht="15" customHeight="1" x14ac:dyDescent="0.25"/>
    <row r="1200" ht="15" customHeight="1" x14ac:dyDescent="0.25"/>
    <row r="1201" ht="15" customHeight="1" x14ac:dyDescent="0.25"/>
    <row r="1202" ht="15" customHeight="1" x14ac:dyDescent="0.25"/>
    <row r="1203" ht="15" customHeight="1" x14ac:dyDescent="0.25"/>
    <row r="1204" ht="15" customHeight="1" x14ac:dyDescent="0.25"/>
    <row r="1205" ht="15" customHeight="1" x14ac:dyDescent="0.25"/>
    <row r="1206" ht="15" customHeight="1" x14ac:dyDescent="0.25"/>
    <row r="1207" ht="15" customHeight="1" x14ac:dyDescent="0.25"/>
    <row r="1208" ht="15" customHeight="1" x14ac:dyDescent="0.25"/>
    <row r="1209" ht="15" customHeight="1" x14ac:dyDescent="0.25"/>
    <row r="1210" ht="15" customHeight="1" x14ac:dyDescent="0.25"/>
    <row r="1211" ht="15" customHeight="1" x14ac:dyDescent="0.25"/>
    <row r="1212" ht="15" customHeight="1" x14ac:dyDescent="0.25"/>
    <row r="1213" ht="15" customHeight="1" x14ac:dyDescent="0.25"/>
    <row r="1214" ht="15" customHeight="1" x14ac:dyDescent="0.25"/>
    <row r="1215" ht="15" customHeight="1" x14ac:dyDescent="0.25"/>
    <row r="1216" ht="15" customHeight="1" x14ac:dyDescent="0.25"/>
    <row r="1217" ht="15" customHeight="1" x14ac:dyDescent="0.25"/>
    <row r="1218" ht="15" customHeight="1" x14ac:dyDescent="0.25"/>
    <row r="1219" ht="15" customHeight="1" x14ac:dyDescent="0.25"/>
    <row r="1220" ht="15" customHeight="1" x14ac:dyDescent="0.25"/>
    <row r="1221" ht="15" customHeight="1" x14ac:dyDescent="0.25"/>
    <row r="1222" ht="15" customHeight="1" x14ac:dyDescent="0.25"/>
    <row r="1223" ht="15" customHeight="1" x14ac:dyDescent="0.25"/>
    <row r="1224" ht="15" customHeight="1" x14ac:dyDescent="0.25"/>
    <row r="1225" ht="15" customHeight="1" x14ac:dyDescent="0.25"/>
    <row r="1226" ht="15" customHeight="1" x14ac:dyDescent="0.25"/>
    <row r="1227" ht="15" customHeight="1" x14ac:dyDescent="0.25"/>
    <row r="1228" ht="15" customHeight="1" x14ac:dyDescent="0.25"/>
    <row r="1229" ht="15" customHeight="1" x14ac:dyDescent="0.25"/>
    <row r="1230" ht="15" customHeight="1" x14ac:dyDescent="0.25"/>
    <row r="1231" ht="15" customHeight="1" x14ac:dyDescent="0.25"/>
    <row r="1232" ht="15" customHeight="1" x14ac:dyDescent="0.25"/>
    <row r="1233" ht="15" customHeight="1" x14ac:dyDescent="0.25"/>
    <row r="1234" ht="15" customHeight="1" x14ac:dyDescent="0.25"/>
    <row r="1235" ht="15" customHeight="1" x14ac:dyDescent="0.25"/>
    <row r="1236" ht="15" customHeight="1" x14ac:dyDescent="0.25"/>
    <row r="1237" ht="15" customHeight="1" x14ac:dyDescent="0.25"/>
    <row r="1238" ht="15" customHeight="1" x14ac:dyDescent="0.25"/>
    <row r="1239" ht="15" customHeight="1" x14ac:dyDescent="0.25"/>
    <row r="1240" ht="15" customHeight="1" x14ac:dyDescent="0.25"/>
    <row r="1241" ht="15" customHeight="1" x14ac:dyDescent="0.25"/>
    <row r="1242" ht="15" customHeight="1" x14ac:dyDescent="0.25"/>
    <row r="1243" ht="15" customHeight="1" x14ac:dyDescent="0.25"/>
    <row r="1244" ht="15" customHeight="1" x14ac:dyDescent="0.25"/>
    <row r="1245" ht="15" customHeight="1" x14ac:dyDescent="0.25"/>
    <row r="1246" ht="15" customHeight="1" x14ac:dyDescent="0.25"/>
    <row r="1247" ht="15" customHeight="1" x14ac:dyDescent="0.25"/>
    <row r="1248" ht="15" customHeight="1" x14ac:dyDescent="0.25"/>
    <row r="1249" ht="15" customHeight="1" x14ac:dyDescent="0.25"/>
    <row r="1250" ht="15" customHeight="1" x14ac:dyDescent="0.25"/>
    <row r="1251" ht="15" customHeight="1" x14ac:dyDescent="0.25"/>
    <row r="1252" ht="15" customHeight="1" x14ac:dyDescent="0.25"/>
    <row r="1253" ht="15" customHeight="1" x14ac:dyDescent="0.25"/>
    <row r="1254" ht="15" customHeight="1" x14ac:dyDescent="0.25"/>
    <row r="1255" ht="15" customHeight="1" x14ac:dyDescent="0.25"/>
    <row r="1256" ht="15" customHeight="1" x14ac:dyDescent="0.25"/>
    <row r="1257" ht="15" customHeight="1" x14ac:dyDescent="0.25"/>
    <row r="1258" ht="15" customHeight="1" x14ac:dyDescent="0.25"/>
    <row r="1259" ht="15" customHeight="1" x14ac:dyDescent="0.25"/>
    <row r="1260" ht="15" customHeight="1" x14ac:dyDescent="0.25"/>
    <row r="1261" ht="15" customHeight="1" x14ac:dyDescent="0.25"/>
    <row r="1262" ht="15" customHeight="1" x14ac:dyDescent="0.25"/>
    <row r="1263" ht="15" customHeight="1" x14ac:dyDescent="0.25"/>
    <row r="1264" ht="15" customHeight="1" x14ac:dyDescent="0.25"/>
    <row r="1265" ht="15" customHeight="1" x14ac:dyDescent="0.25"/>
    <row r="1266" ht="15" customHeight="1" x14ac:dyDescent="0.25"/>
    <row r="1267" ht="15" customHeight="1" x14ac:dyDescent="0.25"/>
    <row r="1268" ht="15" customHeight="1" x14ac:dyDescent="0.25"/>
    <row r="1269" ht="15" customHeight="1" x14ac:dyDescent="0.25"/>
    <row r="1270" ht="15" customHeight="1" x14ac:dyDescent="0.25"/>
    <row r="1271" ht="15" customHeight="1" x14ac:dyDescent="0.25"/>
    <row r="1272" ht="15" customHeight="1" x14ac:dyDescent="0.25"/>
    <row r="1273" ht="15" customHeight="1" x14ac:dyDescent="0.25"/>
    <row r="1274" ht="15" customHeight="1" x14ac:dyDescent="0.25"/>
    <row r="1275" ht="15" customHeight="1" x14ac:dyDescent="0.25"/>
    <row r="1276" ht="15" customHeight="1" x14ac:dyDescent="0.25"/>
    <row r="1277" ht="15" customHeight="1" x14ac:dyDescent="0.25"/>
    <row r="1278" ht="15" customHeight="1" x14ac:dyDescent="0.25"/>
    <row r="1279" ht="15" customHeight="1" x14ac:dyDescent="0.25"/>
    <row r="1280" ht="15" customHeight="1" x14ac:dyDescent="0.25"/>
    <row r="1281" ht="15" customHeight="1" x14ac:dyDescent="0.25"/>
    <row r="1282" ht="15" customHeight="1" x14ac:dyDescent="0.25"/>
    <row r="1283" ht="15" customHeight="1" x14ac:dyDescent="0.25"/>
    <row r="1284" ht="15" customHeight="1" x14ac:dyDescent="0.25"/>
    <row r="1285" ht="15" customHeight="1" x14ac:dyDescent="0.25"/>
    <row r="1286" ht="15" customHeight="1" x14ac:dyDescent="0.25"/>
    <row r="1287" ht="15" customHeight="1" x14ac:dyDescent="0.25"/>
    <row r="1288" ht="15" customHeight="1" x14ac:dyDescent="0.25"/>
    <row r="1289" ht="15" customHeight="1" x14ac:dyDescent="0.25"/>
    <row r="1290" ht="15" customHeight="1" x14ac:dyDescent="0.25"/>
    <row r="1291" ht="15" customHeight="1" x14ac:dyDescent="0.25"/>
    <row r="1292" ht="15" customHeight="1" x14ac:dyDescent="0.25"/>
    <row r="1293" ht="15" customHeight="1" x14ac:dyDescent="0.25"/>
    <row r="1294" ht="15" customHeight="1" x14ac:dyDescent="0.25"/>
    <row r="1295" ht="15" customHeight="1" x14ac:dyDescent="0.25"/>
    <row r="1296" ht="15" customHeight="1" x14ac:dyDescent="0.25"/>
    <row r="1297" ht="15" customHeight="1" x14ac:dyDescent="0.25"/>
    <row r="1298" ht="15" customHeight="1" x14ac:dyDescent="0.25"/>
    <row r="1299" ht="15" customHeight="1" x14ac:dyDescent="0.25"/>
    <row r="1300" ht="15" customHeight="1" x14ac:dyDescent="0.25"/>
    <row r="1301" ht="15" customHeight="1" x14ac:dyDescent="0.25"/>
    <row r="1302" ht="15" customHeight="1" x14ac:dyDescent="0.25"/>
    <row r="1303" ht="15" customHeight="1" x14ac:dyDescent="0.25"/>
    <row r="1304" ht="15" customHeight="1" x14ac:dyDescent="0.25"/>
    <row r="1305" ht="15" customHeight="1" x14ac:dyDescent="0.25"/>
    <row r="1306" ht="15" customHeight="1" x14ac:dyDescent="0.25"/>
    <row r="1307" ht="15" customHeight="1" x14ac:dyDescent="0.25"/>
    <row r="1308" ht="15" customHeight="1" x14ac:dyDescent="0.25"/>
    <row r="1309" ht="15" customHeight="1" x14ac:dyDescent="0.25"/>
    <row r="1310" ht="15" customHeight="1" x14ac:dyDescent="0.25"/>
    <row r="1311" ht="15" customHeight="1" x14ac:dyDescent="0.25"/>
    <row r="1312" ht="15" customHeight="1" x14ac:dyDescent="0.25"/>
    <row r="1313" ht="15" customHeight="1" x14ac:dyDescent="0.25"/>
    <row r="1314" ht="15" customHeight="1" x14ac:dyDescent="0.25"/>
    <row r="1315" ht="15" customHeight="1" x14ac:dyDescent="0.25"/>
    <row r="1316" ht="15" customHeight="1" x14ac:dyDescent="0.25"/>
    <row r="1317" ht="15" customHeight="1" x14ac:dyDescent="0.25"/>
    <row r="1318" ht="15" customHeight="1" x14ac:dyDescent="0.25"/>
    <row r="1319" ht="15" customHeight="1" x14ac:dyDescent="0.25"/>
    <row r="1320" ht="15" customHeight="1" x14ac:dyDescent="0.25"/>
    <row r="1321" ht="15" customHeight="1" x14ac:dyDescent="0.25"/>
    <row r="1322" ht="15" customHeight="1" x14ac:dyDescent="0.25"/>
    <row r="1323" ht="15" customHeight="1" x14ac:dyDescent="0.25"/>
    <row r="1324" ht="15" customHeight="1" x14ac:dyDescent="0.25"/>
    <row r="1325" ht="15" customHeight="1" x14ac:dyDescent="0.25"/>
    <row r="1326" ht="15" customHeight="1" x14ac:dyDescent="0.25"/>
    <row r="1327" ht="15" customHeight="1" x14ac:dyDescent="0.25"/>
    <row r="1328" ht="15" customHeight="1" x14ac:dyDescent="0.25"/>
    <row r="1329" ht="15" customHeight="1" x14ac:dyDescent="0.25"/>
    <row r="1330" ht="15" customHeight="1" x14ac:dyDescent="0.25"/>
    <row r="1331" ht="15" customHeight="1" x14ac:dyDescent="0.25"/>
    <row r="1332" ht="15" customHeight="1" x14ac:dyDescent="0.25"/>
    <row r="1333" ht="15" customHeight="1" x14ac:dyDescent="0.25"/>
    <row r="1334" ht="15" customHeight="1" x14ac:dyDescent="0.25"/>
    <row r="1335" ht="15" customHeight="1" x14ac:dyDescent="0.25"/>
    <row r="1336" ht="15" customHeight="1" x14ac:dyDescent="0.25"/>
    <row r="1337" ht="15" customHeight="1" x14ac:dyDescent="0.25"/>
    <row r="1338" ht="15" customHeight="1" x14ac:dyDescent="0.25"/>
    <row r="1339" ht="15" customHeight="1" x14ac:dyDescent="0.25"/>
    <row r="1340" ht="15" customHeight="1" x14ac:dyDescent="0.25"/>
    <row r="1341" ht="15" customHeight="1" x14ac:dyDescent="0.25"/>
    <row r="1342" ht="15" customHeight="1" x14ac:dyDescent="0.25"/>
    <row r="1343" ht="15" customHeight="1" x14ac:dyDescent="0.25"/>
    <row r="1344" ht="15" customHeight="1" x14ac:dyDescent="0.25"/>
    <row r="1345" ht="15" customHeight="1" x14ac:dyDescent="0.25"/>
    <row r="1346" ht="15" customHeight="1" x14ac:dyDescent="0.25"/>
    <row r="1347" ht="15" customHeight="1" x14ac:dyDescent="0.25"/>
    <row r="1348" ht="15" customHeight="1" x14ac:dyDescent="0.25"/>
    <row r="1349" ht="15" customHeight="1" x14ac:dyDescent="0.25"/>
    <row r="1350" ht="15" customHeight="1" x14ac:dyDescent="0.25"/>
    <row r="1351" ht="15" customHeight="1" x14ac:dyDescent="0.25"/>
    <row r="1352" ht="15" customHeight="1" x14ac:dyDescent="0.25"/>
    <row r="1353" ht="15" customHeight="1" x14ac:dyDescent="0.25"/>
    <row r="1354" ht="15" customHeight="1" x14ac:dyDescent="0.25"/>
    <row r="1355" ht="15" customHeight="1" x14ac:dyDescent="0.25"/>
    <row r="1356" ht="15" customHeight="1" x14ac:dyDescent="0.25"/>
    <row r="1357" ht="15" customHeight="1" x14ac:dyDescent="0.25"/>
    <row r="1358" ht="15" customHeight="1" x14ac:dyDescent="0.25"/>
    <row r="1359" ht="15" customHeight="1" x14ac:dyDescent="0.25"/>
    <row r="1360" ht="15" customHeight="1" x14ac:dyDescent="0.25"/>
    <row r="1361" ht="15" customHeight="1" x14ac:dyDescent="0.25"/>
    <row r="1362" ht="15" customHeight="1" x14ac:dyDescent="0.25"/>
    <row r="1363" ht="15" customHeight="1" x14ac:dyDescent="0.25"/>
    <row r="1364" ht="15" customHeight="1" x14ac:dyDescent="0.25"/>
    <row r="1365" ht="15" customHeight="1" x14ac:dyDescent="0.25"/>
    <row r="1366" ht="15" customHeight="1" x14ac:dyDescent="0.25"/>
    <row r="1367" ht="15" customHeight="1" x14ac:dyDescent="0.25"/>
    <row r="1368" ht="15" customHeight="1" x14ac:dyDescent="0.25"/>
    <row r="1369" ht="15" customHeight="1" x14ac:dyDescent="0.25"/>
    <row r="1370" ht="15" customHeight="1" x14ac:dyDescent="0.25"/>
    <row r="1371" ht="15" customHeight="1" x14ac:dyDescent="0.25"/>
    <row r="1372" ht="15" customHeight="1" x14ac:dyDescent="0.25"/>
    <row r="1373" ht="15" customHeight="1" x14ac:dyDescent="0.25"/>
    <row r="1374" ht="15" customHeight="1" x14ac:dyDescent="0.25"/>
    <row r="1375" ht="15" customHeight="1" x14ac:dyDescent="0.25"/>
    <row r="1376" ht="15" customHeight="1" x14ac:dyDescent="0.25"/>
    <row r="1377" ht="15" customHeight="1" x14ac:dyDescent="0.25"/>
    <row r="1378" ht="15" customHeight="1" x14ac:dyDescent="0.25"/>
    <row r="1379" ht="15" customHeight="1" x14ac:dyDescent="0.25"/>
    <row r="1380" ht="15" customHeight="1" x14ac:dyDescent="0.25"/>
    <row r="1381" ht="15" customHeight="1" x14ac:dyDescent="0.25"/>
    <row r="1382" ht="15" customHeight="1" x14ac:dyDescent="0.25"/>
    <row r="1383" ht="15" customHeight="1" x14ac:dyDescent="0.25"/>
    <row r="1384" ht="15" customHeight="1" x14ac:dyDescent="0.25"/>
    <row r="1385" ht="15" customHeight="1" x14ac:dyDescent="0.25"/>
    <row r="1386" ht="15" customHeight="1" x14ac:dyDescent="0.25"/>
    <row r="1387" ht="15" customHeight="1" x14ac:dyDescent="0.25"/>
    <row r="1388" ht="15" customHeight="1" x14ac:dyDescent="0.25"/>
    <row r="1389" ht="15" customHeight="1" x14ac:dyDescent="0.25"/>
    <row r="1390" ht="15" customHeight="1" x14ac:dyDescent="0.25"/>
    <row r="1391" ht="15" customHeight="1" x14ac:dyDescent="0.25"/>
    <row r="1392" ht="15" customHeight="1" x14ac:dyDescent="0.25"/>
    <row r="1393" ht="15" customHeight="1" x14ac:dyDescent="0.25"/>
    <row r="1394" ht="15" customHeight="1" x14ac:dyDescent="0.25"/>
    <row r="1395" ht="15" customHeight="1" x14ac:dyDescent="0.25"/>
    <row r="1396" ht="15" customHeight="1" x14ac:dyDescent="0.25"/>
    <row r="1397" ht="15" customHeight="1" x14ac:dyDescent="0.25"/>
    <row r="1398" ht="15" customHeight="1" x14ac:dyDescent="0.25"/>
    <row r="1399" ht="15" customHeight="1" x14ac:dyDescent="0.25"/>
    <row r="1400" ht="15" customHeight="1" x14ac:dyDescent="0.25"/>
    <row r="1401" ht="15" customHeight="1" x14ac:dyDescent="0.25"/>
    <row r="1402" ht="15" customHeight="1" x14ac:dyDescent="0.25"/>
    <row r="1403" ht="15" customHeight="1" x14ac:dyDescent="0.25"/>
    <row r="1404" ht="15" customHeight="1" x14ac:dyDescent="0.25"/>
    <row r="1405" ht="15" customHeight="1" x14ac:dyDescent="0.25"/>
    <row r="1406" ht="15" customHeight="1" x14ac:dyDescent="0.25"/>
    <row r="1407" ht="15" customHeight="1" x14ac:dyDescent="0.25"/>
    <row r="1408" ht="15" customHeight="1" x14ac:dyDescent="0.25"/>
    <row r="1409" ht="15" customHeight="1" x14ac:dyDescent="0.25"/>
    <row r="1410" ht="15" customHeight="1" x14ac:dyDescent="0.25"/>
    <row r="1411" ht="15" customHeight="1" x14ac:dyDescent="0.25"/>
    <row r="1412" ht="15" customHeight="1" x14ac:dyDescent="0.25"/>
    <row r="1413" ht="15" customHeight="1" x14ac:dyDescent="0.25"/>
    <row r="1414" ht="15" customHeight="1" x14ac:dyDescent="0.25"/>
    <row r="1415" ht="15" customHeight="1" x14ac:dyDescent="0.25"/>
    <row r="1416" ht="15" customHeight="1" x14ac:dyDescent="0.25"/>
    <row r="1417" ht="15" customHeight="1" x14ac:dyDescent="0.25"/>
    <row r="1418" ht="15" customHeight="1" x14ac:dyDescent="0.25"/>
    <row r="1419" ht="15" customHeight="1" x14ac:dyDescent="0.25"/>
    <row r="1420" ht="15" customHeight="1" x14ac:dyDescent="0.25"/>
    <row r="1421" ht="15" customHeight="1" x14ac:dyDescent="0.25"/>
    <row r="1422" ht="15" customHeight="1" x14ac:dyDescent="0.25"/>
    <row r="1423" ht="15" customHeight="1" x14ac:dyDescent="0.25"/>
    <row r="1424" ht="15" customHeight="1" x14ac:dyDescent="0.25"/>
    <row r="1425" ht="15" customHeight="1" x14ac:dyDescent="0.25"/>
    <row r="1426" ht="15" customHeight="1" x14ac:dyDescent="0.25"/>
    <row r="1427" ht="15" customHeight="1" x14ac:dyDescent="0.25"/>
    <row r="1428" ht="15" customHeight="1" x14ac:dyDescent="0.25"/>
    <row r="1429" ht="15" customHeight="1" x14ac:dyDescent="0.25"/>
    <row r="1430" ht="15" customHeight="1" x14ac:dyDescent="0.25"/>
    <row r="1431" ht="15" customHeight="1" x14ac:dyDescent="0.25"/>
    <row r="1432" ht="15" customHeight="1" x14ac:dyDescent="0.25"/>
    <row r="1433" ht="15" customHeight="1" x14ac:dyDescent="0.25"/>
    <row r="1434" ht="15" customHeight="1" x14ac:dyDescent="0.25"/>
    <row r="1435" ht="15" customHeight="1" x14ac:dyDescent="0.25"/>
    <row r="1436" ht="15" customHeight="1" x14ac:dyDescent="0.25"/>
    <row r="1437" ht="15" customHeight="1" x14ac:dyDescent="0.25"/>
    <row r="1438" ht="15" customHeight="1" x14ac:dyDescent="0.25"/>
    <row r="1439" ht="15" customHeight="1" x14ac:dyDescent="0.25"/>
    <row r="1440" ht="15" customHeight="1" x14ac:dyDescent="0.25"/>
    <row r="1441" ht="15" customHeight="1" x14ac:dyDescent="0.25"/>
    <row r="1442" ht="15" customHeight="1" x14ac:dyDescent="0.25"/>
    <row r="1443" ht="15" customHeight="1" x14ac:dyDescent="0.25"/>
    <row r="1444" ht="15" customHeight="1" x14ac:dyDescent="0.25"/>
    <row r="1445" ht="15" customHeight="1" x14ac:dyDescent="0.25"/>
    <row r="1446" ht="15" customHeight="1" x14ac:dyDescent="0.25"/>
    <row r="1447" ht="15" customHeight="1" x14ac:dyDescent="0.25"/>
    <row r="1448" ht="15" customHeight="1" x14ac:dyDescent="0.25"/>
    <row r="1449" ht="15" customHeight="1" x14ac:dyDescent="0.25"/>
    <row r="1450" ht="15" customHeight="1" x14ac:dyDescent="0.25"/>
    <row r="1451" ht="15" customHeight="1" x14ac:dyDescent="0.25"/>
    <row r="1452" ht="15" customHeight="1" x14ac:dyDescent="0.25"/>
    <row r="1453" ht="15" customHeight="1" x14ac:dyDescent="0.25"/>
    <row r="1454" ht="15" customHeight="1" x14ac:dyDescent="0.25"/>
    <row r="1455" ht="15" customHeight="1" x14ac:dyDescent="0.25"/>
    <row r="1456" ht="15" customHeight="1" x14ac:dyDescent="0.25"/>
    <row r="1457" ht="15" customHeight="1" x14ac:dyDescent="0.25"/>
    <row r="1458" ht="15" customHeight="1" x14ac:dyDescent="0.25"/>
    <row r="1459" ht="15" customHeight="1" x14ac:dyDescent="0.25"/>
    <row r="1460" ht="15" customHeight="1" x14ac:dyDescent="0.25"/>
    <row r="1461" ht="15" customHeight="1" x14ac:dyDescent="0.25"/>
    <row r="1462" ht="15" customHeight="1" x14ac:dyDescent="0.25"/>
    <row r="1463" ht="15" customHeight="1" x14ac:dyDescent="0.25"/>
    <row r="1464" ht="15" customHeight="1" x14ac:dyDescent="0.25"/>
    <row r="1465" ht="15" customHeight="1" x14ac:dyDescent="0.25"/>
    <row r="1466" ht="15" customHeight="1" x14ac:dyDescent="0.25"/>
    <row r="1467" ht="15" customHeight="1" x14ac:dyDescent="0.25"/>
    <row r="1468" ht="15" customHeight="1" x14ac:dyDescent="0.25"/>
    <row r="1469" ht="15" customHeight="1" x14ac:dyDescent="0.25"/>
    <row r="1470" ht="15" customHeight="1" x14ac:dyDescent="0.25"/>
    <row r="1471" ht="15" customHeight="1" x14ac:dyDescent="0.25"/>
    <row r="1472" ht="15" customHeight="1" x14ac:dyDescent="0.25"/>
    <row r="1473" ht="15" customHeight="1" x14ac:dyDescent="0.25"/>
    <row r="1474" ht="15" customHeight="1" x14ac:dyDescent="0.25"/>
    <row r="1475" ht="15" customHeight="1" x14ac:dyDescent="0.25"/>
    <row r="1476" ht="15" customHeight="1" x14ac:dyDescent="0.25"/>
    <row r="1477" ht="15" customHeight="1" x14ac:dyDescent="0.25"/>
    <row r="1478" ht="15" customHeight="1" x14ac:dyDescent="0.25"/>
    <row r="1479" ht="15" customHeight="1" x14ac:dyDescent="0.25"/>
    <row r="1480" ht="15" customHeight="1" x14ac:dyDescent="0.25"/>
    <row r="1481" ht="15" customHeight="1" x14ac:dyDescent="0.25"/>
    <row r="1482" ht="15" customHeight="1" x14ac:dyDescent="0.25"/>
    <row r="1483" ht="15" customHeight="1" x14ac:dyDescent="0.25"/>
    <row r="1484" ht="15" customHeight="1" x14ac:dyDescent="0.25"/>
    <row r="1485" ht="15" customHeight="1" x14ac:dyDescent="0.25"/>
    <row r="1486" ht="15" customHeight="1" x14ac:dyDescent="0.25"/>
    <row r="1487" ht="15" customHeight="1" x14ac:dyDescent="0.25"/>
    <row r="1488" ht="15" customHeight="1" x14ac:dyDescent="0.25"/>
    <row r="1489" ht="15" customHeight="1" x14ac:dyDescent="0.25"/>
    <row r="1490" ht="15" customHeight="1" x14ac:dyDescent="0.25"/>
    <row r="1491" ht="15" customHeight="1" x14ac:dyDescent="0.25"/>
    <row r="1492" ht="15" customHeight="1" x14ac:dyDescent="0.25"/>
    <row r="1493" ht="15" customHeight="1" x14ac:dyDescent="0.25"/>
    <row r="1494" ht="15" customHeight="1" x14ac:dyDescent="0.25"/>
    <row r="1495" ht="15" customHeight="1" x14ac:dyDescent="0.25"/>
    <row r="1496" ht="15" customHeight="1" x14ac:dyDescent="0.25"/>
    <row r="1497" ht="15" customHeight="1" x14ac:dyDescent="0.25"/>
    <row r="1498" ht="15" customHeight="1" x14ac:dyDescent="0.25"/>
    <row r="1499" ht="15" customHeight="1" x14ac:dyDescent="0.25"/>
    <row r="1500" ht="15" customHeight="1" x14ac:dyDescent="0.25"/>
    <row r="1501" ht="15" customHeight="1" x14ac:dyDescent="0.25"/>
    <row r="1502" ht="15" customHeight="1" x14ac:dyDescent="0.25"/>
    <row r="1503" ht="15" customHeight="1" x14ac:dyDescent="0.25"/>
    <row r="1504" ht="15" customHeight="1" x14ac:dyDescent="0.25"/>
    <row r="1505" ht="15" customHeight="1" x14ac:dyDescent="0.25"/>
    <row r="1506" ht="15" customHeight="1" x14ac:dyDescent="0.25"/>
    <row r="1507" ht="15" customHeight="1" x14ac:dyDescent="0.25"/>
    <row r="1508" ht="15" customHeight="1" x14ac:dyDescent="0.25"/>
    <row r="1509" ht="15" customHeight="1" x14ac:dyDescent="0.25"/>
    <row r="1510" ht="15" customHeight="1" x14ac:dyDescent="0.25"/>
    <row r="1511" ht="15" customHeight="1" x14ac:dyDescent="0.25"/>
    <row r="1512" ht="15" customHeight="1" x14ac:dyDescent="0.25"/>
    <row r="1513" ht="15" customHeight="1" x14ac:dyDescent="0.25"/>
    <row r="1514" ht="15" customHeight="1" x14ac:dyDescent="0.25"/>
    <row r="1515" ht="15" customHeight="1" x14ac:dyDescent="0.25"/>
    <row r="1516" ht="15" customHeight="1" x14ac:dyDescent="0.25"/>
    <row r="1517" ht="15" customHeight="1" x14ac:dyDescent="0.25"/>
    <row r="1518" ht="15" customHeight="1" x14ac:dyDescent="0.25"/>
    <row r="1519" ht="15" customHeight="1" x14ac:dyDescent="0.25"/>
    <row r="1520" ht="15" customHeight="1" x14ac:dyDescent="0.25"/>
    <row r="1521" ht="15" customHeight="1" x14ac:dyDescent="0.25"/>
    <row r="1522" ht="15" customHeight="1" x14ac:dyDescent="0.25"/>
    <row r="1523" ht="15" customHeight="1" x14ac:dyDescent="0.25"/>
    <row r="1524" ht="15" customHeight="1" x14ac:dyDescent="0.25"/>
    <row r="1525" ht="15" customHeight="1" x14ac:dyDescent="0.25"/>
    <row r="1526" ht="15" customHeight="1" x14ac:dyDescent="0.25"/>
    <row r="1527" ht="15" customHeight="1" x14ac:dyDescent="0.25"/>
    <row r="1528" ht="15" customHeight="1" x14ac:dyDescent="0.25"/>
    <row r="1529" ht="15" customHeight="1" x14ac:dyDescent="0.25"/>
    <row r="1530" ht="15" customHeight="1" x14ac:dyDescent="0.25"/>
    <row r="1531" ht="15" customHeight="1" x14ac:dyDescent="0.25"/>
    <row r="1532" ht="15" customHeight="1" x14ac:dyDescent="0.25"/>
    <row r="1533" ht="15" customHeight="1" x14ac:dyDescent="0.25"/>
    <row r="1534" ht="15" customHeight="1" x14ac:dyDescent="0.25"/>
    <row r="1535" ht="15" customHeight="1" x14ac:dyDescent="0.25"/>
    <row r="1536" ht="15" customHeight="1" x14ac:dyDescent="0.25"/>
    <row r="1537" ht="15" customHeight="1" x14ac:dyDescent="0.25"/>
    <row r="1538" ht="15" customHeight="1" x14ac:dyDescent="0.25"/>
    <row r="1539" ht="15" customHeight="1" x14ac:dyDescent="0.25"/>
    <row r="1540" ht="15" customHeight="1" x14ac:dyDescent="0.25"/>
    <row r="1541" ht="15" customHeight="1" x14ac:dyDescent="0.25"/>
    <row r="1542" ht="15" customHeight="1" x14ac:dyDescent="0.25"/>
    <row r="1543" ht="15" customHeight="1" x14ac:dyDescent="0.25"/>
    <row r="1544" ht="15" customHeight="1" x14ac:dyDescent="0.25"/>
    <row r="1545" ht="15" customHeight="1" x14ac:dyDescent="0.25"/>
    <row r="1546" ht="15" customHeight="1" x14ac:dyDescent="0.25"/>
    <row r="1547" ht="15" customHeight="1" x14ac:dyDescent="0.25"/>
    <row r="1548" ht="15" customHeight="1" x14ac:dyDescent="0.25"/>
    <row r="1549" ht="15" customHeight="1" x14ac:dyDescent="0.25"/>
    <row r="1550" ht="15" customHeight="1" x14ac:dyDescent="0.25"/>
    <row r="1551" ht="15" customHeight="1" x14ac:dyDescent="0.25"/>
    <row r="1552" ht="15" customHeight="1" x14ac:dyDescent="0.25"/>
    <row r="1553" ht="15" customHeight="1" x14ac:dyDescent="0.25"/>
    <row r="1554" ht="15" customHeight="1" x14ac:dyDescent="0.25"/>
    <row r="1555" ht="15" customHeight="1" x14ac:dyDescent="0.25"/>
    <row r="1556" ht="15" customHeight="1" x14ac:dyDescent="0.25"/>
    <row r="1557" ht="15" customHeight="1" x14ac:dyDescent="0.25"/>
    <row r="1558" ht="15" customHeight="1" x14ac:dyDescent="0.25"/>
    <row r="1559" ht="15" customHeight="1" x14ac:dyDescent="0.25"/>
    <row r="1560" ht="15" customHeight="1" x14ac:dyDescent="0.25"/>
    <row r="1561" ht="15" customHeight="1" x14ac:dyDescent="0.25"/>
    <row r="1562" ht="15" customHeight="1" x14ac:dyDescent="0.25"/>
    <row r="1563" ht="15" customHeight="1" x14ac:dyDescent="0.25"/>
    <row r="1564" ht="15" customHeight="1" x14ac:dyDescent="0.25"/>
    <row r="1565" ht="15" customHeight="1" x14ac:dyDescent="0.25"/>
    <row r="1566" ht="15" customHeight="1" x14ac:dyDescent="0.25"/>
    <row r="1567" ht="15" customHeight="1" x14ac:dyDescent="0.25"/>
    <row r="1568" ht="15" customHeight="1" x14ac:dyDescent="0.25"/>
    <row r="1569" ht="15" customHeight="1" x14ac:dyDescent="0.25"/>
    <row r="1570" ht="15" customHeight="1" x14ac:dyDescent="0.25"/>
    <row r="1571" ht="15" customHeight="1" x14ac:dyDescent="0.25"/>
    <row r="1572" ht="15" customHeight="1" x14ac:dyDescent="0.25"/>
    <row r="1573" ht="15" customHeight="1" x14ac:dyDescent="0.25"/>
    <row r="1574" ht="15" customHeight="1" x14ac:dyDescent="0.25"/>
    <row r="1575" ht="15" customHeight="1" x14ac:dyDescent="0.25"/>
    <row r="1576" ht="15" customHeight="1" x14ac:dyDescent="0.25"/>
    <row r="1577" ht="15" customHeight="1" x14ac:dyDescent="0.25"/>
    <row r="1578" ht="15" customHeight="1" x14ac:dyDescent="0.25"/>
    <row r="1579" ht="15" customHeight="1" x14ac:dyDescent="0.25"/>
    <row r="1580" ht="15" customHeight="1" x14ac:dyDescent="0.25"/>
    <row r="1581" ht="15" customHeight="1" x14ac:dyDescent="0.25"/>
    <row r="1582" ht="15" customHeight="1" x14ac:dyDescent="0.25"/>
    <row r="1583" ht="15" customHeight="1" x14ac:dyDescent="0.25"/>
    <row r="1584" ht="15" customHeight="1" x14ac:dyDescent="0.25"/>
    <row r="1585" ht="15" customHeight="1" x14ac:dyDescent="0.25"/>
    <row r="1586" ht="15" customHeight="1" x14ac:dyDescent="0.25"/>
    <row r="1587" ht="15" customHeight="1" x14ac:dyDescent="0.25"/>
    <row r="1588" ht="15" customHeight="1" x14ac:dyDescent="0.25"/>
    <row r="1589" ht="15" customHeight="1" x14ac:dyDescent="0.25"/>
    <row r="1590" ht="15" customHeight="1" x14ac:dyDescent="0.25"/>
    <row r="1591" ht="15" customHeight="1" x14ac:dyDescent="0.25"/>
    <row r="1592" ht="15" customHeight="1" x14ac:dyDescent="0.25"/>
    <row r="1593" ht="15" customHeight="1" x14ac:dyDescent="0.25"/>
    <row r="1594" ht="15" customHeight="1" x14ac:dyDescent="0.25"/>
    <row r="1595" ht="15" customHeight="1" x14ac:dyDescent="0.25"/>
    <row r="1596" ht="15" customHeight="1" x14ac:dyDescent="0.25"/>
    <row r="1597" ht="15" customHeight="1" x14ac:dyDescent="0.25"/>
    <row r="1598" ht="15" customHeight="1" x14ac:dyDescent="0.25"/>
    <row r="1599" ht="15" customHeight="1" x14ac:dyDescent="0.25"/>
    <row r="1600" ht="15" customHeight="1" x14ac:dyDescent="0.25"/>
    <row r="1601" ht="15" customHeight="1" x14ac:dyDescent="0.25"/>
    <row r="1602" ht="15" customHeight="1" x14ac:dyDescent="0.25"/>
    <row r="1603" ht="15" customHeight="1" x14ac:dyDescent="0.25"/>
    <row r="1604" ht="15" customHeight="1" x14ac:dyDescent="0.25"/>
    <row r="1605" ht="15" customHeight="1" x14ac:dyDescent="0.25"/>
    <row r="1606" ht="15" customHeight="1" x14ac:dyDescent="0.25"/>
    <row r="1607" ht="15" customHeight="1" x14ac:dyDescent="0.25"/>
    <row r="1608" ht="15" customHeight="1" x14ac:dyDescent="0.25"/>
    <row r="1609" ht="15" customHeight="1" x14ac:dyDescent="0.25"/>
    <row r="1610" ht="15" customHeight="1" x14ac:dyDescent="0.25"/>
    <row r="1611" ht="15" customHeight="1" x14ac:dyDescent="0.25"/>
    <row r="1612" ht="15" customHeight="1" x14ac:dyDescent="0.25"/>
    <row r="1613" ht="15" customHeight="1" x14ac:dyDescent="0.25"/>
    <row r="1614" ht="15" customHeight="1" x14ac:dyDescent="0.25"/>
    <row r="1615" ht="15" customHeight="1" x14ac:dyDescent="0.25"/>
    <row r="1616" ht="15" customHeight="1" x14ac:dyDescent="0.25"/>
    <row r="1617" ht="15" customHeight="1" x14ac:dyDescent="0.25"/>
    <row r="1618" ht="15" customHeight="1" x14ac:dyDescent="0.25"/>
    <row r="1619" ht="15" customHeight="1" x14ac:dyDescent="0.25"/>
    <row r="1620" ht="15" customHeight="1" x14ac:dyDescent="0.25"/>
    <row r="1621" ht="15" customHeight="1" x14ac:dyDescent="0.25"/>
    <row r="1622" ht="15" customHeight="1" x14ac:dyDescent="0.25"/>
    <row r="1623" ht="15" customHeight="1" x14ac:dyDescent="0.25"/>
    <row r="1624" ht="15" customHeight="1" x14ac:dyDescent="0.25"/>
    <row r="1625" ht="15" customHeight="1" x14ac:dyDescent="0.25"/>
    <row r="1626" ht="15" customHeight="1" x14ac:dyDescent="0.25"/>
    <row r="1627" ht="15" customHeight="1" x14ac:dyDescent="0.25"/>
    <row r="1628" ht="15" customHeight="1" x14ac:dyDescent="0.25"/>
    <row r="1629" ht="15" customHeight="1" x14ac:dyDescent="0.25"/>
    <row r="1630" ht="15" customHeight="1" x14ac:dyDescent="0.25"/>
    <row r="1631" ht="15" customHeight="1" x14ac:dyDescent="0.25"/>
    <row r="1632" ht="15" customHeight="1" x14ac:dyDescent="0.25"/>
    <row r="1633" ht="15" customHeight="1" x14ac:dyDescent="0.25"/>
    <row r="1634" ht="15" customHeight="1" x14ac:dyDescent="0.25"/>
    <row r="1635" ht="15" customHeight="1" x14ac:dyDescent="0.25"/>
    <row r="1636" ht="15" customHeight="1" x14ac:dyDescent="0.25"/>
    <row r="1637" ht="15" customHeight="1" x14ac:dyDescent="0.25"/>
    <row r="1638" ht="15" customHeight="1" x14ac:dyDescent="0.25"/>
    <row r="1639" ht="15" customHeight="1" x14ac:dyDescent="0.25"/>
    <row r="1640" ht="15" customHeight="1" x14ac:dyDescent="0.25"/>
    <row r="1641" ht="15" customHeight="1" x14ac:dyDescent="0.25"/>
    <row r="1642" ht="15" customHeight="1" x14ac:dyDescent="0.25"/>
    <row r="1643" ht="15" customHeight="1" x14ac:dyDescent="0.25"/>
    <row r="1644" ht="15" customHeight="1" x14ac:dyDescent="0.25"/>
    <row r="1645" ht="15" customHeight="1" x14ac:dyDescent="0.25"/>
    <row r="1646" ht="15" customHeight="1" x14ac:dyDescent="0.25"/>
    <row r="1647" ht="15" customHeight="1" x14ac:dyDescent="0.25"/>
    <row r="1648" ht="15" customHeight="1" x14ac:dyDescent="0.25"/>
    <row r="1649" ht="15" customHeight="1" x14ac:dyDescent="0.25"/>
    <row r="1650" ht="15" customHeight="1" x14ac:dyDescent="0.25"/>
    <row r="1651" ht="15" customHeight="1" x14ac:dyDescent="0.25"/>
    <row r="1652" ht="15" customHeight="1" x14ac:dyDescent="0.25"/>
    <row r="1653" ht="15" customHeight="1" x14ac:dyDescent="0.25"/>
    <row r="1654" ht="15" customHeight="1" x14ac:dyDescent="0.25"/>
    <row r="1655" ht="15" customHeight="1" x14ac:dyDescent="0.25"/>
    <row r="1656" ht="15" customHeight="1" x14ac:dyDescent="0.25"/>
    <row r="1657" ht="15" customHeight="1" x14ac:dyDescent="0.25"/>
    <row r="1658" ht="15" customHeight="1" x14ac:dyDescent="0.25"/>
    <row r="1659" ht="15" customHeight="1" x14ac:dyDescent="0.25"/>
    <row r="1660" ht="15" customHeight="1" x14ac:dyDescent="0.25"/>
    <row r="1661" ht="15" customHeight="1" x14ac:dyDescent="0.25"/>
    <row r="1662" ht="15" customHeight="1" x14ac:dyDescent="0.25"/>
    <row r="1663" ht="15" customHeight="1" x14ac:dyDescent="0.25"/>
    <row r="1664" ht="15" customHeight="1" x14ac:dyDescent="0.25"/>
    <row r="1665" ht="15" customHeight="1" x14ac:dyDescent="0.25"/>
    <row r="1666" ht="15" customHeight="1" x14ac:dyDescent="0.25"/>
    <row r="1667" ht="15" customHeight="1" x14ac:dyDescent="0.25"/>
    <row r="1668" ht="15" customHeight="1" x14ac:dyDescent="0.25"/>
    <row r="1669" ht="15" customHeight="1" x14ac:dyDescent="0.25"/>
    <row r="1670" ht="15" customHeight="1" x14ac:dyDescent="0.25"/>
    <row r="1671" ht="15" customHeight="1" x14ac:dyDescent="0.25"/>
    <row r="1672" ht="15" customHeight="1" x14ac:dyDescent="0.25"/>
    <row r="1673" ht="15" customHeight="1" x14ac:dyDescent="0.25"/>
    <row r="1674" ht="15" customHeight="1" x14ac:dyDescent="0.25"/>
    <row r="1675" ht="15" customHeight="1" x14ac:dyDescent="0.25"/>
    <row r="1676" ht="15" customHeight="1" x14ac:dyDescent="0.25"/>
    <row r="1677" ht="15" customHeight="1" x14ac:dyDescent="0.25"/>
    <row r="1678" ht="15" customHeight="1" x14ac:dyDescent="0.25"/>
    <row r="1679" ht="15" customHeight="1" x14ac:dyDescent="0.25"/>
    <row r="1680" ht="15" customHeight="1" x14ac:dyDescent="0.25"/>
    <row r="1681" ht="15" customHeight="1" x14ac:dyDescent="0.25"/>
    <row r="1682" ht="15" customHeight="1" x14ac:dyDescent="0.25"/>
    <row r="1683" ht="15" customHeight="1" x14ac:dyDescent="0.25"/>
    <row r="1684" ht="15" customHeight="1" x14ac:dyDescent="0.25"/>
    <row r="1685" ht="15" customHeight="1" x14ac:dyDescent="0.25"/>
    <row r="1686" ht="15" customHeight="1" x14ac:dyDescent="0.25"/>
    <row r="1687" ht="15" customHeight="1" x14ac:dyDescent="0.25"/>
    <row r="1688" ht="15" customHeight="1" x14ac:dyDescent="0.25"/>
    <row r="1689" ht="15" customHeight="1" x14ac:dyDescent="0.25"/>
    <row r="1690" ht="15" customHeight="1" x14ac:dyDescent="0.25"/>
    <row r="1691" ht="15" customHeight="1" x14ac:dyDescent="0.25"/>
    <row r="1692" ht="15" customHeight="1" x14ac:dyDescent="0.25"/>
    <row r="1693" ht="15" customHeight="1" x14ac:dyDescent="0.25"/>
    <row r="1694" ht="15" customHeight="1" x14ac:dyDescent="0.25"/>
    <row r="1695" ht="15" customHeight="1" x14ac:dyDescent="0.25"/>
    <row r="1696" ht="15" customHeight="1" x14ac:dyDescent="0.25"/>
    <row r="1697" ht="15" customHeight="1" x14ac:dyDescent="0.25"/>
    <row r="1698" ht="15" customHeight="1" x14ac:dyDescent="0.25"/>
    <row r="1699" ht="15" customHeight="1" x14ac:dyDescent="0.25"/>
    <row r="1700" ht="15" customHeight="1" x14ac:dyDescent="0.25"/>
    <row r="1701" ht="15" customHeight="1" x14ac:dyDescent="0.25"/>
    <row r="1702" ht="15" customHeight="1" x14ac:dyDescent="0.25"/>
    <row r="1703" ht="15" customHeight="1" x14ac:dyDescent="0.25"/>
    <row r="1704" ht="15" customHeight="1" x14ac:dyDescent="0.25"/>
    <row r="1705" ht="15" customHeight="1" x14ac:dyDescent="0.25"/>
    <row r="1706" ht="15" customHeight="1" x14ac:dyDescent="0.25"/>
    <row r="1707" ht="15" customHeight="1" x14ac:dyDescent="0.25"/>
    <row r="1708" ht="15" customHeight="1" x14ac:dyDescent="0.25"/>
    <row r="1709" ht="15" customHeight="1" x14ac:dyDescent="0.25"/>
    <row r="1710" ht="15" customHeight="1" x14ac:dyDescent="0.25"/>
    <row r="1711" ht="15" customHeight="1" x14ac:dyDescent="0.25"/>
    <row r="1712" ht="15" customHeight="1" x14ac:dyDescent="0.25"/>
    <row r="1713" ht="15" customHeight="1" x14ac:dyDescent="0.25"/>
    <row r="1714" ht="15" customHeight="1" x14ac:dyDescent="0.25"/>
    <row r="1715" ht="15" customHeight="1" x14ac:dyDescent="0.25"/>
    <row r="1716" ht="15" customHeight="1" x14ac:dyDescent="0.25"/>
    <row r="1717" ht="15" customHeight="1" x14ac:dyDescent="0.25"/>
    <row r="1718" ht="15" customHeight="1" x14ac:dyDescent="0.25"/>
    <row r="1719" ht="15" customHeight="1" x14ac:dyDescent="0.25"/>
    <row r="1720" ht="15" customHeight="1" x14ac:dyDescent="0.25"/>
    <row r="1721" ht="15" customHeight="1" x14ac:dyDescent="0.25"/>
    <row r="1722" ht="15" customHeight="1" x14ac:dyDescent="0.25"/>
    <row r="1723" ht="15" customHeight="1" x14ac:dyDescent="0.25"/>
    <row r="1724" ht="15" customHeight="1" x14ac:dyDescent="0.25"/>
    <row r="1725" ht="15" customHeight="1" x14ac:dyDescent="0.25"/>
    <row r="1726" ht="15" customHeight="1" x14ac:dyDescent="0.25"/>
    <row r="1727" ht="15" customHeight="1" x14ac:dyDescent="0.25"/>
    <row r="1728" ht="15" customHeight="1" x14ac:dyDescent="0.25"/>
    <row r="1729" ht="15" customHeight="1" x14ac:dyDescent="0.25"/>
    <row r="1730" ht="15" customHeight="1" x14ac:dyDescent="0.25"/>
    <row r="1731" ht="15" customHeight="1" x14ac:dyDescent="0.25"/>
    <row r="1732" ht="15" customHeight="1" x14ac:dyDescent="0.25"/>
    <row r="1733" ht="15" customHeight="1" x14ac:dyDescent="0.25"/>
    <row r="1734" ht="15" customHeight="1" x14ac:dyDescent="0.25"/>
    <row r="1735" ht="15" customHeight="1" x14ac:dyDescent="0.25"/>
    <row r="1736" ht="15" customHeight="1" x14ac:dyDescent="0.25"/>
    <row r="1737" ht="15" customHeight="1" x14ac:dyDescent="0.25"/>
    <row r="1738" ht="15" customHeight="1" x14ac:dyDescent="0.25"/>
    <row r="1739" ht="15" customHeight="1" x14ac:dyDescent="0.25"/>
    <row r="1740" ht="15" customHeight="1" x14ac:dyDescent="0.25"/>
    <row r="1741" ht="15" customHeight="1" x14ac:dyDescent="0.25"/>
    <row r="1742" ht="15" customHeight="1" x14ac:dyDescent="0.25"/>
    <row r="1743" ht="15" customHeight="1" x14ac:dyDescent="0.25"/>
    <row r="1744" ht="15" customHeight="1" x14ac:dyDescent="0.25"/>
    <row r="1745" ht="15" customHeight="1" x14ac:dyDescent="0.25"/>
    <row r="1746" ht="15" customHeight="1" x14ac:dyDescent="0.25"/>
    <row r="1747" ht="15" customHeight="1" x14ac:dyDescent="0.25"/>
    <row r="1748" ht="15" customHeight="1" x14ac:dyDescent="0.25"/>
    <row r="1749" ht="15" customHeight="1" x14ac:dyDescent="0.25"/>
    <row r="1750" ht="15" customHeight="1" x14ac:dyDescent="0.25"/>
    <row r="1751" ht="15" customHeight="1" x14ac:dyDescent="0.25"/>
    <row r="1752" ht="15" customHeight="1" x14ac:dyDescent="0.25"/>
    <row r="1753" ht="15" customHeight="1" x14ac:dyDescent="0.25"/>
    <row r="1754" ht="15" customHeight="1" x14ac:dyDescent="0.25"/>
    <row r="1755" ht="15" customHeight="1" x14ac:dyDescent="0.25"/>
    <row r="1756" ht="15" customHeight="1" x14ac:dyDescent="0.25"/>
    <row r="1757" ht="15" customHeight="1" x14ac:dyDescent="0.25"/>
    <row r="1758" ht="15" customHeight="1" x14ac:dyDescent="0.25"/>
    <row r="1759" ht="15" customHeight="1" x14ac:dyDescent="0.25"/>
    <row r="1760" ht="15" customHeight="1" x14ac:dyDescent="0.25"/>
    <row r="1761" ht="15" customHeight="1" x14ac:dyDescent="0.25"/>
    <row r="1762" ht="15" customHeight="1" x14ac:dyDescent="0.25"/>
    <row r="1763" ht="15" customHeight="1" x14ac:dyDescent="0.25"/>
    <row r="1764" ht="15" customHeight="1" x14ac:dyDescent="0.25"/>
    <row r="1765" ht="15" customHeight="1" x14ac:dyDescent="0.25"/>
    <row r="1766" ht="15" customHeight="1" x14ac:dyDescent="0.25"/>
    <row r="1767" ht="15" customHeight="1" x14ac:dyDescent="0.25"/>
    <row r="1768" ht="15" customHeight="1" x14ac:dyDescent="0.25"/>
    <row r="1769" ht="15" customHeight="1" x14ac:dyDescent="0.25"/>
    <row r="1770" ht="15" customHeight="1" x14ac:dyDescent="0.25"/>
    <row r="1771" ht="15" customHeight="1" x14ac:dyDescent="0.25"/>
    <row r="1772" ht="15" customHeight="1" x14ac:dyDescent="0.25"/>
    <row r="1773" ht="15" customHeight="1" x14ac:dyDescent="0.25"/>
    <row r="1774" ht="15" customHeight="1" x14ac:dyDescent="0.25"/>
    <row r="1775" ht="15" customHeight="1" x14ac:dyDescent="0.25"/>
    <row r="1776" ht="15" customHeight="1" x14ac:dyDescent="0.25"/>
    <row r="1777" ht="15" customHeight="1" x14ac:dyDescent="0.25"/>
    <row r="1778" ht="15" customHeight="1" x14ac:dyDescent="0.25"/>
    <row r="1779" ht="15" customHeight="1" x14ac:dyDescent="0.25"/>
    <row r="1780" ht="15" customHeight="1" x14ac:dyDescent="0.25"/>
    <row r="1781" ht="15" customHeight="1" x14ac:dyDescent="0.25"/>
    <row r="1782" ht="15" customHeight="1" x14ac:dyDescent="0.25"/>
    <row r="1783" ht="15" customHeight="1" x14ac:dyDescent="0.25"/>
    <row r="1784" ht="15" customHeight="1" x14ac:dyDescent="0.25"/>
    <row r="1785" ht="15" customHeight="1" x14ac:dyDescent="0.25"/>
    <row r="1786" ht="15" customHeight="1" x14ac:dyDescent="0.25"/>
    <row r="1787" ht="15" customHeight="1" x14ac:dyDescent="0.25"/>
    <row r="1788" ht="15" customHeight="1" x14ac:dyDescent="0.25"/>
    <row r="1789" ht="15" customHeight="1" x14ac:dyDescent="0.25"/>
    <row r="1790" ht="15" customHeight="1" x14ac:dyDescent="0.25"/>
    <row r="1791" ht="15" customHeight="1" x14ac:dyDescent="0.25"/>
    <row r="1792" ht="15" customHeight="1" x14ac:dyDescent="0.25"/>
    <row r="1793" ht="15" customHeight="1" x14ac:dyDescent="0.25"/>
    <row r="1794" ht="15" customHeight="1" x14ac:dyDescent="0.25"/>
    <row r="1795" ht="15" customHeight="1" x14ac:dyDescent="0.25"/>
    <row r="1796" ht="15" customHeight="1" x14ac:dyDescent="0.25"/>
    <row r="1797" ht="15" customHeight="1" x14ac:dyDescent="0.25"/>
    <row r="1798" ht="15" customHeight="1" x14ac:dyDescent="0.25"/>
    <row r="1799" ht="15" customHeight="1" x14ac:dyDescent="0.25"/>
    <row r="1800" ht="15" customHeight="1" x14ac:dyDescent="0.25"/>
    <row r="1801" ht="15" customHeight="1" x14ac:dyDescent="0.25"/>
    <row r="1802" ht="15" customHeight="1" x14ac:dyDescent="0.25"/>
    <row r="1803" ht="15" customHeight="1" x14ac:dyDescent="0.25"/>
    <row r="1804" ht="15" customHeight="1" x14ac:dyDescent="0.25"/>
    <row r="1805" ht="15" customHeight="1" x14ac:dyDescent="0.25"/>
    <row r="1806" ht="15" customHeight="1" x14ac:dyDescent="0.25"/>
    <row r="1807" ht="15" customHeight="1" x14ac:dyDescent="0.25"/>
    <row r="1808" ht="15" customHeight="1" x14ac:dyDescent="0.25"/>
    <row r="1809" ht="15" customHeight="1" x14ac:dyDescent="0.25"/>
    <row r="1810" ht="15" customHeight="1" x14ac:dyDescent="0.25"/>
    <row r="1811" ht="15" customHeight="1" x14ac:dyDescent="0.25"/>
    <row r="1812" ht="15" customHeight="1" x14ac:dyDescent="0.25"/>
    <row r="1813" ht="15" customHeight="1" x14ac:dyDescent="0.25"/>
    <row r="1814" ht="15" customHeight="1" x14ac:dyDescent="0.25"/>
    <row r="1815" ht="15" customHeight="1" x14ac:dyDescent="0.25"/>
    <row r="1816" ht="15" customHeight="1" x14ac:dyDescent="0.25"/>
    <row r="1817" ht="15" customHeight="1" x14ac:dyDescent="0.25"/>
    <row r="1818" ht="15" customHeight="1" x14ac:dyDescent="0.25"/>
    <row r="1819" ht="15" customHeight="1" x14ac:dyDescent="0.25"/>
    <row r="1820" ht="15" customHeight="1" x14ac:dyDescent="0.25"/>
    <row r="1821" ht="15" customHeight="1" x14ac:dyDescent="0.25"/>
    <row r="1822" ht="15" customHeight="1" x14ac:dyDescent="0.25"/>
    <row r="1823" ht="15" customHeight="1" x14ac:dyDescent="0.25"/>
    <row r="1824" ht="15" customHeight="1" x14ac:dyDescent="0.25"/>
    <row r="1825" ht="15" customHeight="1" x14ac:dyDescent="0.25"/>
    <row r="1826" ht="15" customHeight="1" x14ac:dyDescent="0.25"/>
    <row r="1827" ht="15" customHeight="1" x14ac:dyDescent="0.25"/>
    <row r="1828" ht="15" customHeight="1" x14ac:dyDescent="0.25"/>
    <row r="1829" ht="15" customHeight="1" x14ac:dyDescent="0.25"/>
    <row r="1830" ht="15" customHeight="1" x14ac:dyDescent="0.25"/>
    <row r="1831" ht="15" customHeight="1" x14ac:dyDescent="0.25"/>
    <row r="1832" ht="15" customHeight="1" x14ac:dyDescent="0.25"/>
    <row r="1833" ht="15" customHeight="1" x14ac:dyDescent="0.25"/>
    <row r="1834" ht="15" customHeight="1" x14ac:dyDescent="0.25"/>
    <row r="1835" ht="15" customHeight="1" x14ac:dyDescent="0.25"/>
    <row r="1836" ht="15" customHeight="1" x14ac:dyDescent="0.25"/>
    <row r="1837" ht="15" customHeight="1" x14ac:dyDescent="0.25"/>
    <row r="1838" ht="15" customHeight="1" x14ac:dyDescent="0.25"/>
    <row r="1839" ht="15" customHeight="1" x14ac:dyDescent="0.25"/>
    <row r="1840" ht="15" customHeight="1" x14ac:dyDescent="0.25"/>
    <row r="1841" ht="15" customHeight="1" x14ac:dyDescent="0.25"/>
    <row r="1842" ht="15" customHeight="1" x14ac:dyDescent="0.25"/>
    <row r="1843" ht="15" customHeight="1" x14ac:dyDescent="0.25"/>
    <row r="1844" ht="15" customHeight="1" x14ac:dyDescent="0.25"/>
    <row r="1845" ht="15" customHeight="1" x14ac:dyDescent="0.25"/>
    <row r="1846" ht="15" customHeight="1" x14ac:dyDescent="0.25"/>
    <row r="1847" ht="15" customHeight="1" x14ac:dyDescent="0.25"/>
    <row r="1848" ht="15" customHeight="1" x14ac:dyDescent="0.25"/>
    <row r="1849" ht="15" customHeight="1" x14ac:dyDescent="0.25"/>
    <row r="1850" ht="15" customHeight="1" x14ac:dyDescent="0.25"/>
    <row r="1851" ht="15" customHeight="1" x14ac:dyDescent="0.25"/>
    <row r="1852" ht="15" customHeight="1" x14ac:dyDescent="0.25"/>
    <row r="1853" ht="15" customHeight="1" x14ac:dyDescent="0.25"/>
    <row r="1854" ht="15" customHeight="1" x14ac:dyDescent="0.25"/>
    <row r="1855" ht="15" customHeight="1" x14ac:dyDescent="0.25"/>
    <row r="1856" ht="15" customHeight="1" x14ac:dyDescent="0.25"/>
    <row r="1857" ht="15" customHeight="1" x14ac:dyDescent="0.25"/>
    <row r="1858" ht="15" customHeight="1" x14ac:dyDescent="0.25"/>
    <row r="1859" ht="15" customHeight="1" x14ac:dyDescent="0.25"/>
    <row r="1860" ht="15" customHeight="1" x14ac:dyDescent="0.25"/>
    <row r="1861" ht="15" customHeight="1" x14ac:dyDescent="0.25"/>
    <row r="1862" ht="15" customHeight="1" x14ac:dyDescent="0.25"/>
    <row r="1863" ht="15" customHeight="1" x14ac:dyDescent="0.25"/>
    <row r="1864" ht="15" customHeight="1" x14ac:dyDescent="0.25"/>
    <row r="1865" ht="15" customHeight="1" x14ac:dyDescent="0.25"/>
    <row r="1866" ht="15" customHeight="1" x14ac:dyDescent="0.25"/>
    <row r="1867" ht="15" customHeight="1" x14ac:dyDescent="0.25"/>
    <row r="1868" ht="15" customHeight="1" x14ac:dyDescent="0.25"/>
    <row r="1869" ht="15" customHeight="1" x14ac:dyDescent="0.25"/>
    <row r="1870" ht="15" customHeight="1" x14ac:dyDescent="0.25"/>
    <row r="1871" ht="15" customHeight="1" x14ac:dyDescent="0.25"/>
    <row r="1872" ht="15" customHeight="1" x14ac:dyDescent="0.25"/>
    <row r="1873" ht="15" customHeight="1" x14ac:dyDescent="0.25"/>
    <row r="1874" ht="15" customHeight="1" x14ac:dyDescent="0.25"/>
    <row r="1875" ht="15" customHeight="1" x14ac:dyDescent="0.25"/>
    <row r="1876" ht="15" customHeight="1" x14ac:dyDescent="0.25"/>
    <row r="1877" ht="15" customHeight="1" x14ac:dyDescent="0.25"/>
    <row r="1878" ht="15" customHeight="1" x14ac:dyDescent="0.25"/>
    <row r="1879" ht="15" customHeight="1" x14ac:dyDescent="0.25"/>
    <row r="1880" ht="15" customHeight="1" x14ac:dyDescent="0.25"/>
    <row r="1881" ht="15" customHeight="1" x14ac:dyDescent="0.25"/>
    <row r="1882" ht="15" customHeight="1" x14ac:dyDescent="0.25"/>
    <row r="1883" ht="15" customHeight="1" x14ac:dyDescent="0.25"/>
    <row r="1884" ht="15" customHeight="1" x14ac:dyDescent="0.25"/>
    <row r="1885" ht="15" customHeight="1" x14ac:dyDescent="0.25"/>
    <row r="1886" ht="15" customHeight="1" x14ac:dyDescent="0.25"/>
    <row r="1887" ht="15" customHeight="1" x14ac:dyDescent="0.25"/>
    <row r="1888" ht="15" customHeight="1" x14ac:dyDescent="0.25"/>
    <row r="1889" ht="15" customHeight="1" x14ac:dyDescent="0.25"/>
    <row r="1890" ht="15" customHeight="1" x14ac:dyDescent="0.25"/>
    <row r="1891" ht="15" customHeight="1" x14ac:dyDescent="0.25"/>
    <row r="1892" ht="15" customHeight="1" x14ac:dyDescent="0.25"/>
    <row r="1893" ht="15" customHeight="1" x14ac:dyDescent="0.25"/>
    <row r="1894" ht="15" customHeight="1" x14ac:dyDescent="0.25"/>
    <row r="1895" ht="15" customHeight="1" x14ac:dyDescent="0.25"/>
    <row r="1896" ht="15" customHeight="1" x14ac:dyDescent="0.25"/>
    <row r="1897" ht="15" customHeight="1" x14ac:dyDescent="0.25"/>
    <row r="1898" ht="15" customHeight="1" x14ac:dyDescent="0.25"/>
    <row r="1899" ht="15" customHeight="1" x14ac:dyDescent="0.25"/>
    <row r="1900" ht="15" customHeight="1" x14ac:dyDescent="0.25"/>
    <row r="1901" ht="15" customHeight="1" x14ac:dyDescent="0.25"/>
    <row r="1902" ht="15" customHeight="1" x14ac:dyDescent="0.25"/>
    <row r="1903" ht="15" customHeight="1" x14ac:dyDescent="0.25"/>
    <row r="1904" ht="15" customHeight="1" x14ac:dyDescent="0.25"/>
    <row r="1905" ht="15" customHeight="1" x14ac:dyDescent="0.25"/>
    <row r="1906" ht="15" customHeight="1" x14ac:dyDescent="0.25"/>
    <row r="1907" ht="15" customHeight="1" x14ac:dyDescent="0.25"/>
    <row r="1908" ht="15" customHeight="1" x14ac:dyDescent="0.25"/>
    <row r="1909" ht="15" customHeight="1" x14ac:dyDescent="0.25"/>
    <row r="1910" ht="15" customHeight="1" x14ac:dyDescent="0.25"/>
    <row r="1911" ht="15" customHeight="1" x14ac:dyDescent="0.25"/>
    <row r="1912" ht="15" customHeight="1" x14ac:dyDescent="0.25"/>
    <row r="1913" ht="15" customHeight="1" x14ac:dyDescent="0.25"/>
    <row r="1914" ht="15" customHeight="1" x14ac:dyDescent="0.25"/>
    <row r="1915" ht="15" customHeight="1" x14ac:dyDescent="0.25"/>
    <row r="1916" ht="15" customHeight="1" x14ac:dyDescent="0.25"/>
    <row r="1917" ht="15" customHeight="1" x14ac:dyDescent="0.25"/>
    <row r="1918" ht="15" customHeight="1" x14ac:dyDescent="0.25"/>
    <row r="1919" ht="15" customHeight="1" x14ac:dyDescent="0.25"/>
    <row r="1920" ht="15" customHeight="1" x14ac:dyDescent="0.25"/>
    <row r="1921" ht="15" customHeight="1" x14ac:dyDescent="0.25"/>
    <row r="1922" ht="15" customHeight="1" x14ac:dyDescent="0.25"/>
    <row r="1923" ht="15" customHeight="1" x14ac:dyDescent="0.25"/>
    <row r="1924" ht="15" customHeight="1" x14ac:dyDescent="0.25"/>
    <row r="1925" ht="15" customHeight="1" x14ac:dyDescent="0.25"/>
    <row r="1926" ht="15" customHeight="1" x14ac:dyDescent="0.25"/>
    <row r="1927" ht="15" customHeight="1" x14ac:dyDescent="0.25"/>
    <row r="1928" ht="15" customHeight="1" x14ac:dyDescent="0.25"/>
    <row r="1929" ht="15" customHeight="1" x14ac:dyDescent="0.25"/>
    <row r="1930" ht="15" customHeight="1" x14ac:dyDescent="0.25"/>
    <row r="1931" ht="15" customHeight="1" x14ac:dyDescent="0.25"/>
    <row r="1932" ht="15" customHeight="1" x14ac:dyDescent="0.25"/>
    <row r="1933" ht="15" customHeight="1" x14ac:dyDescent="0.25"/>
    <row r="1934" ht="15" customHeight="1" x14ac:dyDescent="0.25"/>
    <row r="1935" ht="15" customHeight="1" x14ac:dyDescent="0.25"/>
    <row r="1936" ht="15" customHeight="1" x14ac:dyDescent="0.25"/>
    <row r="1937" ht="15" customHeight="1" x14ac:dyDescent="0.25"/>
    <row r="1938" ht="15" customHeight="1" x14ac:dyDescent="0.25"/>
    <row r="1939" ht="15" customHeight="1" x14ac:dyDescent="0.25"/>
    <row r="1940" ht="15" customHeight="1" x14ac:dyDescent="0.25"/>
    <row r="1941" ht="15" customHeight="1" x14ac:dyDescent="0.25"/>
    <row r="1942" ht="15" customHeight="1" x14ac:dyDescent="0.25"/>
    <row r="1943" ht="15" customHeight="1" x14ac:dyDescent="0.25"/>
    <row r="1944" ht="15" customHeight="1" x14ac:dyDescent="0.25"/>
    <row r="1945" ht="15" customHeight="1" x14ac:dyDescent="0.25"/>
    <row r="1946" ht="15" customHeight="1" x14ac:dyDescent="0.25"/>
    <row r="1947" ht="15" customHeight="1" x14ac:dyDescent="0.25"/>
    <row r="1948" ht="15" customHeight="1" x14ac:dyDescent="0.25"/>
    <row r="1949" ht="15" customHeight="1" x14ac:dyDescent="0.25"/>
    <row r="1950" ht="15" customHeight="1" x14ac:dyDescent="0.25"/>
    <row r="1951" ht="15" customHeight="1" x14ac:dyDescent="0.25"/>
    <row r="1952" ht="15" customHeight="1" x14ac:dyDescent="0.25"/>
    <row r="1953" ht="15" customHeight="1" x14ac:dyDescent="0.25"/>
    <row r="1954" ht="15" customHeight="1" x14ac:dyDescent="0.25"/>
    <row r="1955" ht="15" customHeight="1" x14ac:dyDescent="0.25"/>
    <row r="1956" ht="15" customHeight="1" x14ac:dyDescent="0.25"/>
    <row r="1957" ht="15" customHeight="1" x14ac:dyDescent="0.25"/>
    <row r="1958" ht="15" customHeight="1" x14ac:dyDescent="0.25"/>
    <row r="1959" ht="15" customHeight="1" x14ac:dyDescent="0.25"/>
    <row r="1960" ht="15" customHeight="1" x14ac:dyDescent="0.25"/>
    <row r="1961" ht="15" customHeight="1" x14ac:dyDescent="0.25"/>
    <row r="1962" ht="15" customHeight="1" x14ac:dyDescent="0.25"/>
    <row r="1963" ht="15" customHeight="1" x14ac:dyDescent="0.25"/>
    <row r="1964" ht="15" customHeight="1" x14ac:dyDescent="0.25"/>
    <row r="1965" ht="15" customHeight="1" x14ac:dyDescent="0.25"/>
    <row r="1966" ht="15" customHeight="1" x14ac:dyDescent="0.25"/>
    <row r="1967" ht="15" customHeight="1" x14ac:dyDescent="0.25"/>
    <row r="1968" ht="15" customHeight="1" x14ac:dyDescent="0.25"/>
    <row r="1969" ht="15" customHeight="1" x14ac:dyDescent="0.25"/>
    <row r="1970" ht="15" customHeight="1" x14ac:dyDescent="0.25"/>
    <row r="1971" ht="15" customHeight="1" x14ac:dyDescent="0.25"/>
    <row r="1972" ht="15" customHeight="1" x14ac:dyDescent="0.25"/>
    <row r="1973" ht="15" customHeight="1" x14ac:dyDescent="0.25"/>
    <row r="1974" ht="15" customHeight="1" x14ac:dyDescent="0.25"/>
    <row r="1975" ht="15" customHeight="1" x14ac:dyDescent="0.25"/>
    <row r="1976" ht="15" customHeight="1" x14ac:dyDescent="0.25"/>
    <row r="1977" ht="15" customHeight="1" x14ac:dyDescent="0.25"/>
    <row r="1978" ht="15" customHeight="1" x14ac:dyDescent="0.25"/>
    <row r="1979" ht="15" customHeight="1" x14ac:dyDescent="0.25"/>
    <row r="1980" ht="15" customHeight="1" x14ac:dyDescent="0.25"/>
    <row r="1981" ht="15" customHeight="1" x14ac:dyDescent="0.25"/>
    <row r="1982" ht="15" customHeight="1" x14ac:dyDescent="0.25"/>
    <row r="1983" ht="15" customHeight="1" x14ac:dyDescent="0.25"/>
    <row r="1984" ht="15" customHeight="1" x14ac:dyDescent="0.25"/>
    <row r="1985" ht="15" customHeight="1" x14ac:dyDescent="0.25"/>
    <row r="1986" ht="15" customHeight="1" x14ac:dyDescent="0.25"/>
    <row r="1987" ht="15" customHeight="1" x14ac:dyDescent="0.25"/>
    <row r="1988" ht="15" customHeight="1" x14ac:dyDescent="0.25"/>
    <row r="1989" ht="15" customHeight="1" x14ac:dyDescent="0.25"/>
    <row r="1990" ht="15" customHeight="1" x14ac:dyDescent="0.25"/>
    <row r="1991" ht="15" customHeight="1" x14ac:dyDescent="0.25"/>
    <row r="1992" ht="15" customHeight="1" x14ac:dyDescent="0.25"/>
    <row r="1993" ht="15" customHeight="1" x14ac:dyDescent="0.25"/>
    <row r="1994" ht="15" customHeight="1" x14ac:dyDescent="0.25"/>
    <row r="1995" ht="15" customHeight="1" x14ac:dyDescent="0.25"/>
    <row r="1996" ht="15" customHeight="1" x14ac:dyDescent="0.25"/>
    <row r="1997" ht="15" customHeight="1" x14ac:dyDescent="0.25"/>
    <row r="1998" ht="15" customHeight="1" x14ac:dyDescent="0.25"/>
    <row r="1999" ht="15" customHeight="1" x14ac:dyDescent="0.25"/>
    <row r="2000" ht="15" customHeight="1" x14ac:dyDescent="0.25"/>
    <row r="2001" ht="15" customHeight="1" x14ac:dyDescent="0.25"/>
    <row r="2002" ht="15" customHeight="1" x14ac:dyDescent="0.25"/>
    <row r="2003" ht="15" customHeight="1" x14ac:dyDescent="0.25"/>
    <row r="2004" ht="15" customHeight="1" x14ac:dyDescent="0.25"/>
    <row r="2005" ht="15" customHeight="1" x14ac:dyDescent="0.25"/>
    <row r="2006" ht="15" customHeight="1" x14ac:dyDescent="0.25"/>
    <row r="2007" ht="15" customHeight="1" x14ac:dyDescent="0.25"/>
    <row r="2008" ht="15" customHeight="1" x14ac:dyDescent="0.25"/>
    <row r="2009" ht="15" customHeight="1" x14ac:dyDescent="0.25"/>
    <row r="2010" ht="15" customHeight="1" x14ac:dyDescent="0.25"/>
    <row r="2011" ht="15" customHeight="1" x14ac:dyDescent="0.25"/>
    <row r="2012" ht="15" customHeight="1" x14ac:dyDescent="0.25"/>
    <row r="2013" ht="15" customHeight="1" x14ac:dyDescent="0.25"/>
    <row r="2014" ht="15" customHeight="1" x14ac:dyDescent="0.25"/>
    <row r="2015" ht="15" customHeight="1" x14ac:dyDescent="0.25"/>
    <row r="2016" ht="15" customHeight="1" x14ac:dyDescent="0.25"/>
    <row r="2017" ht="15" customHeight="1" x14ac:dyDescent="0.25"/>
    <row r="2018" ht="15" customHeight="1" x14ac:dyDescent="0.25"/>
    <row r="2019" ht="15" customHeight="1" x14ac:dyDescent="0.25"/>
    <row r="2020" ht="15" customHeight="1" x14ac:dyDescent="0.25"/>
    <row r="2021" ht="15" customHeight="1" x14ac:dyDescent="0.25"/>
    <row r="2022" ht="15" customHeight="1" x14ac:dyDescent="0.25"/>
    <row r="2023" ht="15" customHeight="1" x14ac:dyDescent="0.25"/>
    <row r="2024" ht="15" customHeight="1" x14ac:dyDescent="0.25"/>
    <row r="2025" ht="15" customHeight="1" x14ac:dyDescent="0.25"/>
    <row r="2026" ht="15" customHeight="1" x14ac:dyDescent="0.25"/>
    <row r="2027" ht="15" customHeight="1" x14ac:dyDescent="0.25"/>
    <row r="2028" ht="15" customHeight="1" x14ac:dyDescent="0.25"/>
    <row r="2029" ht="15" customHeight="1" x14ac:dyDescent="0.25"/>
    <row r="2030" ht="15" customHeight="1" x14ac:dyDescent="0.25"/>
    <row r="2031" ht="15" customHeight="1" x14ac:dyDescent="0.25"/>
    <row r="2032" ht="15" customHeight="1" x14ac:dyDescent="0.25"/>
    <row r="2033" ht="15" customHeight="1" x14ac:dyDescent="0.25"/>
    <row r="2034" ht="15" customHeight="1" x14ac:dyDescent="0.25"/>
    <row r="2035" ht="15" customHeight="1" x14ac:dyDescent="0.25"/>
    <row r="2036" ht="15" customHeight="1" x14ac:dyDescent="0.25"/>
    <row r="2037" ht="15" customHeight="1" x14ac:dyDescent="0.25"/>
    <row r="2038" ht="15" customHeight="1" x14ac:dyDescent="0.25"/>
    <row r="2039" ht="15" customHeight="1" x14ac:dyDescent="0.25"/>
    <row r="2040" ht="15" customHeight="1" x14ac:dyDescent="0.25"/>
    <row r="2041" ht="15" customHeight="1" x14ac:dyDescent="0.25"/>
    <row r="2042" ht="15" customHeight="1" x14ac:dyDescent="0.25"/>
    <row r="2043" ht="15" customHeight="1" x14ac:dyDescent="0.25"/>
    <row r="2044" ht="15" customHeight="1" x14ac:dyDescent="0.25"/>
    <row r="2045" ht="15" customHeight="1" x14ac:dyDescent="0.25"/>
    <row r="2046" ht="15" customHeight="1" x14ac:dyDescent="0.25"/>
    <row r="2047" ht="15" customHeight="1" x14ac:dyDescent="0.25"/>
    <row r="2048" ht="15" customHeight="1" x14ac:dyDescent="0.25"/>
    <row r="2049" ht="15" customHeight="1" x14ac:dyDescent="0.25"/>
    <row r="2050" ht="15" customHeight="1" x14ac:dyDescent="0.25"/>
    <row r="2051" ht="15" customHeight="1" x14ac:dyDescent="0.25"/>
    <row r="2052" ht="15" customHeight="1" x14ac:dyDescent="0.25"/>
    <row r="2053" ht="15" customHeight="1" x14ac:dyDescent="0.25"/>
    <row r="2054" ht="15" customHeight="1" x14ac:dyDescent="0.25"/>
    <row r="2055" ht="15" customHeight="1" x14ac:dyDescent="0.25"/>
    <row r="2056" ht="15" customHeight="1" x14ac:dyDescent="0.25"/>
    <row r="2057" ht="15" customHeight="1" x14ac:dyDescent="0.25"/>
    <row r="2058" ht="15" customHeight="1" x14ac:dyDescent="0.25"/>
    <row r="2059" ht="15" customHeight="1" x14ac:dyDescent="0.25"/>
    <row r="2060" ht="15" customHeight="1" x14ac:dyDescent="0.25"/>
    <row r="2061" ht="15" customHeight="1" x14ac:dyDescent="0.25"/>
    <row r="2062" ht="15" customHeight="1" x14ac:dyDescent="0.25"/>
    <row r="2063" ht="15" customHeight="1" x14ac:dyDescent="0.25"/>
    <row r="2064" ht="15" customHeight="1" x14ac:dyDescent="0.25"/>
    <row r="2065" ht="15" customHeight="1" x14ac:dyDescent="0.25"/>
    <row r="2066" ht="15" customHeight="1" x14ac:dyDescent="0.25"/>
    <row r="2067" ht="15" customHeight="1" x14ac:dyDescent="0.25"/>
    <row r="2068" ht="15" customHeight="1" x14ac:dyDescent="0.25"/>
    <row r="2069" ht="15" customHeight="1" x14ac:dyDescent="0.25"/>
    <row r="2070" ht="15" customHeight="1" x14ac:dyDescent="0.25"/>
    <row r="2071" ht="15" customHeight="1" x14ac:dyDescent="0.25"/>
    <row r="2072" ht="15" customHeight="1" x14ac:dyDescent="0.25"/>
    <row r="2073" ht="15" customHeight="1" x14ac:dyDescent="0.25"/>
    <row r="2074" ht="15" customHeight="1" x14ac:dyDescent="0.25"/>
    <row r="2075" ht="15" customHeight="1" x14ac:dyDescent="0.25"/>
    <row r="2076" ht="15" customHeight="1" x14ac:dyDescent="0.25"/>
    <row r="2077" ht="15" customHeight="1" x14ac:dyDescent="0.25"/>
    <row r="2078" ht="15" customHeight="1" x14ac:dyDescent="0.25"/>
    <row r="2079" ht="15" customHeight="1" x14ac:dyDescent="0.25"/>
    <row r="2080" ht="15" customHeight="1" x14ac:dyDescent="0.25"/>
    <row r="2081" ht="15" customHeight="1" x14ac:dyDescent="0.25"/>
    <row r="2082" ht="15" customHeight="1" x14ac:dyDescent="0.25"/>
    <row r="2083" ht="15" customHeight="1" x14ac:dyDescent="0.25"/>
    <row r="2084" ht="15" customHeight="1" x14ac:dyDescent="0.25"/>
    <row r="2085" ht="15" customHeight="1" x14ac:dyDescent="0.25"/>
    <row r="2086" ht="15" customHeight="1" x14ac:dyDescent="0.25"/>
    <row r="2087" ht="15" customHeight="1" x14ac:dyDescent="0.25"/>
    <row r="2088" ht="15" customHeight="1" x14ac:dyDescent="0.25"/>
    <row r="2089" ht="15" customHeight="1" x14ac:dyDescent="0.25"/>
    <row r="2090" ht="15" customHeight="1" x14ac:dyDescent="0.25"/>
    <row r="2091" ht="15" customHeight="1" x14ac:dyDescent="0.25"/>
    <row r="2092" ht="15" customHeight="1" x14ac:dyDescent="0.25"/>
    <row r="2093" ht="15" customHeight="1" x14ac:dyDescent="0.25"/>
    <row r="2094" ht="15" customHeight="1" x14ac:dyDescent="0.25"/>
    <row r="2095" ht="15" customHeight="1" x14ac:dyDescent="0.25"/>
    <row r="2096" ht="15" customHeight="1" x14ac:dyDescent="0.25"/>
    <row r="2097" ht="15" customHeight="1" x14ac:dyDescent="0.25"/>
    <row r="2098" ht="15" customHeight="1" x14ac:dyDescent="0.25"/>
    <row r="2099" ht="15" customHeight="1" x14ac:dyDescent="0.25"/>
    <row r="2100" ht="15" customHeight="1" x14ac:dyDescent="0.25"/>
    <row r="2101" ht="15" customHeight="1" x14ac:dyDescent="0.25"/>
    <row r="2102" ht="15" customHeight="1" x14ac:dyDescent="0.25"/>
    <row r="2103" ht="15" customHeight="1" x14ac:dyDescent="0.25"/>
    <row r="2104" ht="15" customHeight="1" x14ac:dyDescent="0.25"/>
    <row r="2105" ht="15" customHeight="1" x14ac:dyDescent="0.25"/>
    <row r="2106" ht="15" customHeight="1" x14ac:dyDescent="0.25"/>
    <row r="2107" ht="15" customHeight="1" x14ac:dyDescent="0.25"/>
    <row r="2108" ht="15" customHeight="1" x14ac:dyDescent="0.25"/>
    <row r="2109" ht="15" customHeight="1" x14ac:dyDescent="0.25"/>
    <row r="2110" ht="15" customHeight="1" x14ac:dyDescent="0.25"/>
    <row r="2111" ht="15" customHeight="1" x14ac:dyDescent="0.25"/>
    <row r="2112" ht="15" customHeight="1" x14ac:dyDescent="0.25"/>
    <row r="2113" ht="15" customHeight="1" x14ac:dyDescent="0.25"/>
    <row r="2114" ht="15" customHeight="1" x14ac:dyDescent="0.25"/>
    <row r="2115" ht="15" customHeight="1" x14ac:dyDescent="0.25"/>
    <row r="2116" ht="15" customHeight="1" x14ac:dyDescent="0.25"/>
    <row r="2117" ht="15" customHeight="1" x14ac:dyDescent="0.25"/>
    <row r="2118" ht="15" customHeight="1" x14ac:dyDescent="0.25"/>
    <row r="2119" ht="15" customHeight="1" x14ac:dyDescent="0.25"/>
    <row r="2120" ht="15" customHeight="1" x14ac:dyDescent="0.25"/>
    <row r="2121" ht="15" customHeight="1" x14ac:dyDescent="0.25"/>
    <row r="2122" ht="15" customHeight="1" x14ac:dyDescent="0.25"/>
    <row r="2123" ht="15" customHeight="1" x14ac:dyDescent="0.25"/>
    <row r="2124" ht="15" customHeight="1" x14ac:dyDescent="0.25"/>
    <row r="2125" ht="15" customHeight="1" x14ac:dyDescent="0.25"/>
    <row r="2126" ht="15" customHeight="1" x14ac:dyDescent="0.25"/>
    <row r="2127" ht="15" customHeight="1" x14ac:dyDescent="0.25"/>
    <row r="2128" ht="15" customHeight="1" x14ac:dyDescent="0.25"/>
    <row r="2129" ht="15" customHeight="1" x14ac:dyDescent="0.25"/>
    <row r="2130" ht="15" customHeight="1" x14ac:dyDescent="0.25"/>
    <row r="2131" ht="15" customHeight="1" x14ac:dyDescent="0.25"/>
    <row r="2132" ht="15" customHeight="1" x14ac:dyDescent="0.25"/>
    <row r="2133" ht="15" customHeight="1" x14ac:dyDescent="0.25"/>
    <row r="2134" ht="15" customHeight="1" x14ac:dyDescent="0.25"/>
    <row r="2135" ht="15" customHeight="1" x14ac:dyDescent="0.25"/>
    <row r="2136" ht="15" customHeight="1" x14ac:dyDescent="0.25"/>
    <row r="2137" ht="15" customHeight="1" x14ac:dyDescent="0.25"/>
    <row r="2138" ht="15" customHeight="1" x14ac:dyDescent="0.25"/>
    <row r="2139" ht="15" customHeight="1" x14ac:dyDescent="0.25"/>
    <row r="2140" ht="15" customHeight="1" x14ac:dyDescent="0.25"/>
    <row r="2141" ht="15" customHeight="1" x14ac:dyDescent="0.25"/>
    <row r="2142" ht="15" customHeight="1" x14ac:dyDescent="0.25"/>
    <row r="2143" ht="15" customHeight="1" x14ac:dyDescent="0.25"/>
    <row r="2144" ht="15" customHeight="1" x14ac:dyDescent="0.25"/>
    <row r="2145" ht="15" customHeight="1" x14ac:dyDescent="0.25"/>
    <row r="2146" ht="15" customHeight="1" x14ac:dyDescent="0.25"/>
    <row r="2147" ht="15" customHeight="1" x14ac:dyDescent="0.25"/>
    <row r="2148" ht="15" customHeight="1" x14ac:dyDescent="0.25"/>
    <row r="2149" ht="15" customHeight="1" x14ac:dyDescent="0.25"/>
    <row r="2150" ht="15" customHeight="1" x14ac:dyDescent="0.25"/>
    <row r="2151" ht="15" customHeight="1" x14ac:dyDescent="0.25"/>
    <row r="2152" ht="15" customHeight="1" x14ac:dyDescent="0.25"/>
    <row r="2153" ht="15" customHeight="1" x14ac:dyDescent="0.25"/>
    <row r="2154" ht="15" customHeight="1" x14ac:dyDescent="0.25"/>
    <row r="2155" ht="15" customHeight="1" x14ac:dyDescent="0.25"/>
    <row r="2156" ht="15" customHeight="1" x14ac:dyDescent="0.25"/>
    <row r="2157" ht="15" customHeight="1" x14ac:dyDescent="0.25"/>
    <row r="2158" ht="15" customHeight="1" x14ac:dyDescent="0.25"/>
    <row r="2159" ht="15" customHeight="1" x14ac:dyDescent="0.25"/>
    <row r="2160" ht="15" customHeight="1" x14ac:dyDescent="0.25"/>
    <row r="2161" ht="15" customHeight="1" x14ac:dyDescent="0.25"/>
    <row r="2162" ht="15" customHeight="1" x14ac:dyDescent="0.25"/>
    <row r="2163" ht="15" customHeight="1" x14ac:dyDescent="0.25"/>
    <row r="2164" ht="15" customHeight="1" x14ac:dyDescent="0.25"/>
    <row r="2165" ht="15" customHeight="1" x14ac:dyDescent="0.25"/>
    <row r="2166" ht="15" customHeight="1" x14ac:dyDescent="0.25"/>
    <row r="2167" ht="15" customHeight="1" x14ac:dyDescent="0.25"/>
    <row r="2168" ht="15" customHeight="1" x14ac:dyDescent="0.25"/>
    <row r="2169" ht="15" customHeight="1" x14ac:dyDescent="0.25"/>
    <row r="2170" ht="15" customHeight="1" x14ac:dyDescent="0.25"/>
    <row r="2171" ht="15" customHeight="1" x14ac:dyDescent="0.25"/>
    <row r="2172" ht="15" customHeight="1" x14ac:dyDescent="0.25"/>
    <row r="2173" ht="15" customHeight="1" x14ac:dyDescent="0.25"/>
    <row r="2174" ht="15" customHeight="1" x14ac:dyDescent="0.25"/>
    <row r="2175" ht="15" customHeight="1" x14ac:dyDescent="0.25"/>
    <row r="2176" ht="15" customHeight="1" x14ac:dyDescent="0.25"/>
    <row r="2177" ht="15" customHeight="1" x14ac:dyDescent="0.25"/>
    <row r="2178" ht="15" customHeight="1" x14ac:dyDescent="0.25"/>
    <row r="2179" ht="15" customHeight="1" x14ac:dyDescent="0.25"/>
    <row r="2180" ht="15" customHeight="1" x14ac:dyDescent="0.25"/>
    <row r="2181" ht="15" customHeight="1" x14ac:dyDescent="0.25"/>
    <row r="2182" ht="15" customHeight="1" x14ac:dyDescent="0.25"/>
    <row r="2183" ht="15" customHeight="1" x14ac:dyDescent="0.25"/>
    <row r="2184" ht="15" customHeight="1" x14ac:dyDescent="0.25"/>
    <row r="2185" ht="15" customHeight="1" x14ac:dyDescent="0.25"/>
    <row r="2186" ht="15" customHeight="1" x14ac:dyDescent="0.25"/>
    <row r="2187" ht="15" customHeight="1" x14ac:dyDescent="0.25"/>
    <row r="2188" ht="15" customHeight="1" x14ac:dyDescent="0.25"/>
    <row r="2189" ht="15" customHeight="1" x14ac:dyDescent="0.25"/>
    <row r="2190" ht="15" customHeight="1" x14ac:dyDescent="0.25"/>
    <row r="2191" ht="15" customHeight="1" x14ac:dyDescent="0.25"/>
    <row r="2192" ht="15" customHeight="1" x14ac:dyDescent="0.25"/>
    <row r="2193" ht="15" customHeight="1" x14ac:dyDescent="0.25"/>
    <row r="2194" ht="15" customHeight="1" x14ac:dyDescent="0.25"/>
    <row r="2195" ht="15" customHeight="1" x14ac:dyDescent="0.25"/>
    <row r="2196" ht="15" customHeight="1" x14ac:dyDescent="0.25"/>
    <row r="2197" ht="15" customHeight="1" x14ac:dyDescent="0.25"/>
    <row r="2198" ht="15" customHeight="1" x14ac:dyDescent="0.25"/>
    <row r="2199" ht="15" customHeight="1" x14ac:dyDescent="0.25"/>
    <row r="2200" ht="15" customHeight="1" x14ac:dyDescent="0.25"/>
    <row r="2201" ht="15" customHeight="1" x14ac:dyDescent="0.25"/>
    <row r="2202" ht="15" customHeight="1" x14ac:dyDescent="0.25"/>
    <row r="2203" ht="15" customHeight="1" x14ac:dyDescent="0.25"/>
    <row r="2204" ht="15" customHeight="1" x14ac:dyDescent="0.25"/>
    <row r="2205" ht="15" customHeight="1" x14ac:dyDescent="0.25"/>
    <row r="2206" ht="15" customHeight="1" x14ac:dyDescent="0.25"/>
    <row r="2207" ht="15" customHeight="1" x14ac:dyDescent="0.25"/>
    <row r="2208" ht="15" customHeight="1" x14ac:dyDescent="0.25"/>
    <row r="2209" ht="15" customHeight="1" x14ac:dyDescent="0.25"/>
    <row r="2210" ht="15" customHeight="1" x14ac:dyDescent="0.25"/>
    <row r="2211" ht="15" customHeight="1" x14ac:dyDescent="0.25"/>
    <row r="2212" ht="15" customHeight="1" x14ac:dyDescent="0.25"/>
    <row r="2213" ht="15" customHeight="1" x14ac:dyDescent="0.25"/>
    <row r="2214" ht="15" customHeight="1" x14ac:dyDescent="0.25"/>
    <row r="2215" ht="15" customHeight="1" x14ac:dyDescent="0.25"/>
    <row r="2216" ht="15" customHeight="1" x14ac:dyDescent="0.25"/>
    <row r="2217" ht="15" customHeight="1" x14ac:dyDescent="0.25"/>
    <row r="2218" ht="15" customHeight="1" x14ac:dyDescent="0.25"/>
    <row r="2219" ht="15" customHeight="1" x14ac:dyDescent="0.25"/>
    <row r="2220" ht="15" customHeight="1" x14ac:dyDescent="0.25"/>
    <row r="2221" ht="15" customHeight="1" x14ac:dyDescent="0.25"/>
    <row r="2222" ht="15" customHeight="1" x14ac:dyDescent="0.25"/>
    <row r="2223" ht="15" customHeight="1" x14ac:dyDescent="0.25"/>
    <row r="2224" ht="15" customHeight="1" x14ac:dyDescent="0.25"/>
    <row r="2225" ht="15" customHeight="1" x14ac:dyDescent="0.25"/>
    <row r="2226" ht="15" customHeight="1" x14ac:dyDescent="0.25"/>
    <row r="2227" ht="15" customHeight="1" x14ac:dyDescent="0.25"/>
    <row r="2228" ht="15" customHeight="1" x14ac:dyDescent="0.25"/>
    <row r="2229" ht="15" customHeight="1" x14ac:dyDescent="0.25"/>
    <row r="2230" ht="15" customHeight="1" x14ac:dyDescent="0.25"/>
    <row r="2231" ht="15" customHeight="1" x14ac:dyDescent="0.25"/>
    <row r="2232" ht="15" customHeight="1" x14ac:dyDescent="0.25"/>
    <row r="2233" ht="15" customHeight="1" x14ac:dyDescent="0.25"/>
    <row r="2234" ht="15" customHeight="1" x14ac:dyDescent="0.25"/>
    <row r="2235" ht="15" customHeight="1" x14ac:dyDescent="0.25"/>
    <row r="2236" ht="15" customHeight="1" x14ac:dyDescent="0.25"/>
    <row r="2237" ht="15" customHeight="1" x14ac:dyDescent="0.25"/>
    <row r="2238" ht="15" customHeight="1" x14ac:dyDescent="0.25"/>
    <row r="2239" ht="15" customHeight="1" x14ac:dyDescent="0.25"/>
    <row r="2240" ht="15" customHeight="1" x14ac:dyDescent="0.25"/>
    <row r="2241" ht="15" customHeight="1" x14ac:dyDescent="0.25"/>
    <row r="2242" ht="15" customHeight="1" x14ac:dyDescent="0.25"/>
    <row r="2243" ht="15" customHeight="1" x14ac:dyDescent="0.25"/>
    <row r="2244" ht="15" customHeight="1" x14ac:dyDescent="0.25"/>
    <row r="2245" ht="15" customHeight="1" x14ac:dyDescent="0.25"/>
    <row r="2246" ht="15" customHeight="1" x14ac:dyDescent="0.25"/>
    <row r="2247" ht="15" customHeight="1" x14ac:dyDescent="0.25"/>
    <row r="2248" ht="15" customHeight="1" x14ac:dyDescent="0.25"/>
    <row r="2249" ht="15" customHeight="1" x14ac:dyDescent="0.25"/>
    <row r="2250" ht="15" customHeight="1" x14ac:dyDescent="0.25"/>
    <row r="2251" ht="15" customHeight="1" x14ac:dyDescent="0.25"/>
    <row r="2252" ht="15" customHeight="1" x14ac:dyDescent="0.25"/>
    <row r="2253" ht="15" customHeight="1" x14ac:dyDescent="0.25"/>
    <row r="2254" ht="15" customHeight="1" x14ac:dyDescent="0.25"/>
    <row r="2255" ht="15" customHeight="1" x14ac:dyDescent="0.25"/>
    <row r="2256" ht="15" customHeight="1" x14ac:dyDescent="0.25"/>
    <row r="2257" ht="15" customHeight="1" x14ac:dyDescent="0.25"/>
    <row r="2258" ht="15" customHeight="1" x14ac:dyDescent="0.25"/>
    <row r="2259" ht="15" customHeight="1" x14ac:dyDescent="0.25"/>
    <row r="2260" ht="15" customHeight="1" x14ac:dyDescent="0.25"/>
    <row r="2261" ht="15" customHeight="1" x14ac:dyDescent="0.25"/>
    <row r="2262" ht="15" customHeight="1" x14ac:dyDescent="0.25"/>
    <row r="2263" ht="15" customHeight="1" x14ac:dyDescent="0.25"/>
    <row r="2264" ht="15" customHeight="1" x14ac:dyDescent="0.25"/>
    <row r="2265" ht="15" customHeight="1" x14ac:dyDescent="0.25"/>
    <row r="2266" ht="15" customHeight="1" x14ac:dyDescent="0.25"/>
    <row r="2267" ht="15" customHeight="1" x14ac:dyDescent="0.25"/>
    <row r="2268" ht="15" customHeight="1" x14ac:dyDescent="0.25"/>
    <row r="2269" ht="15" customHeight="1" x14ac:dyDescent="0.25"/>
    <row r="2270" ht="15" customHeight="1" x14ac:dyDescent="0.25"/>
    <row r="2271" ht="15" customHeight="1" x14ac:dyDescent="0.25"/>
    <row r="2272" ht="15" customHeight="1" x14ac:dyDescent="0.25"/>
    <row r="2273" ht="15" customHeight="1" x14ac:dyDescent="0.25"/>
    <row r="2274" ht="15" customHeight="1" x14ac:dyDescent="0.25"/>
    <row r="2275" ht="15" customHeight="1" x14ac:dyDescent="0.25"/>
    <row r="2276" ht="15" customHeight="1" x14ac:dyDescent="0.25"/>
    <row r="2277" ht="15" customHeight="1" x14ac:dyDescent="0.25"/>
    <row r="2278" ht="15" customHeight="1" x14ac:dyDescent="0.25"/>
    <row r="2279" ht="15" customHeight="1" x14ac:dyDescent="0.25"/>
    <row r="2280" ht="15" customHeight="1" x14ac:dyDescent="0.25"/>
    <row r="2281" ht="15" customHeight="1" x14ac:dyDescent="0.25"/>
    <row r="2282" ht="15" customHeight="1" x14ac:dyDescent="0.25"/>
    <row r="2283" ht="15" customHeight="1" x14ac:dyDescent="0.25"/>
    <row r="2284" ht="15" customHeight="1" x14ac:dyDescent="0.25"/>
    <row r="2285" ht="15" customHeight="1" x14ac:dyDescent="0.25"/>
    <row r="2286" ht="15" customHeight="1" x14ac:dyDescent="0.25"/>
    <row r="2287" ht="15" customHeight="1" x14ac:dyDescent="0.25"/>
    <row r="2288" ht="15" customHeight="1" x14ac:dyDescent="0.25"/>
    <row r="2289" ht="15" customHeight="1" x14ac:dyDescent="0.25"/>
    <row r="2290" ht="15" customHeight="1" x14ac:dyDescent="0.25"/>
    <row r="2291" ht="15" customHeight="1" x14ac:dyDescent="0.25"/>
    <row r="2292" ht="15" customHeight="1" x14ac:dyDescent="0.25"/>
    <row r="2293" ht="15" customHeight="1" x14ac:dyDescent="0.25"/>
    <row r="2294" ht="15" customHeight="1" x14ac:dyDescent="0.25"/>
    <row r="2295" ht="15" customHeight="1" x14ac:dyDescent="0.25"/>
    <row r="2296" ht="15" customHeight="1" x14ac:dyDescent="0.25"/>
    <row r="2297" ht="15" customHeight="1" x14ac:dyDescent="0.25"/>
    <row r="2298" ht="15" customHeight="1" x14ac:dyDescent="0.25"/>
    <row r="2299" ht="15" customHeight="1" x14ac:dyDescent="0.25"/>
    <row r="2300" ht="15" customHeight="1" x14ac:dyDescent="0.25"/>
    <row r="2301" ht="15" customHeight="1" x14ac:dyDescent="0.25"/>
    <row r="2302" ht="15" customHeight="1" x14ac:dyDescent="0.25"/>
    <row r="2303" ht="15" customHeight="1" x14ac:dyDescent="0.25"/>
    <row r="2304" ht="15" customHeight="1" x14ac:dyDescent="0.25"/>
    <row r="2305" ht="15" customHeight="1" x14ac:dyDescent="0.25"/>
    <row r="2306" ht="15" customHeight="1" x14ac:dyDescent="0.25"/>
    <row r="2307" ht="15" customHeight="1" x14ac:dyDescent="0.25"/>
    <row r="2308" ht="15" customHeight="1" x14ac:dyDescent="0.25"/>
    <row r="2309" ht="15" customHeight="1" x14ac:dyDescent="0.25"/>
    <row r="2310" ht="15" customHeight="1" x14ac:dyDescent="0.25"/>
    <row r="2311" ht="15" customHeight="1" x14ac:dyDescent="0.25"/>
    <row r="2312" ht="15" customHeight="1" x14ac:dyDescent="0.25"/>
    <row r="2313" ht="15" customHeight="1" x14ac:dyDescent="0.25"/>
    <row r="2314" ht="15" customHeight="1" x14ac:dyDescent="0.25"/>
    <row r="2315" ht="15" customHeight="1" x14ac:dyDescent="0.25"/>
    <row r="2316" ht="15" customHeight="1" x14ac:dyDescent="0.25"/>
    <row r="2317" ht="15" customHeight="1" x14ac:dyDescent="0.25"/>
    <row r="2318" ht="15" customHeight="1" x14ac:dyDescent="0.25"/>
    <row r="2319" ht="15" customHeight="1" x14ac:dyDescent="0.25"/>
    <row r="2320" ht="15" customHeight="1" x14ac:dyDescent="0.25"/>
    <row r="2321" ht="15" customHeight="1" x14ac:dyDescent="0.25"/>
    <row r="2322" ht="15" customHeight="1" x14ac:dyDescent="0.25"/>
    <row r="2323" ht="15" customHeight="1" x14ac:dyDescent="0.25"/>
    <row r="2324" ht="15" customHeight="1" x14ac:dyDescent="0.25"/>
    <row r="2325" ht="15" customHeight="1" x14ac:dyDescent="0.25"/>
    <row r="2326" ht="15" customHeight="1" x14ac:dyDescent="0.25"/>
    <row r="2327" ht="15" customHeight="1" x14ac:dyDescent="0.25"/>
    <row r="2328" ht="15" customHeight="1" x14ac:dyDescent="0.25"/>
    <row r="2329" ht="15" customHeight="1" x14ac:dyDescent="0.25"/>
    <row r="2330" ht="15" customHeight="1" x14ac:dyDescent="0.25"/>
    <row r="2331" ht="15" customHeight="1" x14ac:dyDescent="0.25"/>
    <row r="2332" ht="15" customHeight="1" x14ac:dyDescent="0.25"/>
    <row r="2333" ht="15" customHeight="1" x14ac:dyDescent="0.25"/>
    <row r="2334" ht="15" customHeight="1" x14ac:dyDescent="0.25"/>
    <row r="2335" ht="15" customHeight="1" x14ac:dyDescent="0.25"/>
    <row r="2336" ht="15" customHeight="1" x14ac:dyDescent="0.25"/>
    <row r="2337" ht="15" customHeight="1" x14ac:dyDescent="0.25"/>
    <row r="2338" ht="15" customHeight="1" x14ac:dyDescent="0.25"/>
    <row r="2339" ht="15" customHeight="1" x14ac:dyDescent="0.25"/>
    <row r="2340" ht="15" customHeight="1" x14ac:dyDescent="0.25"/>
    <row r="2341" ht="15" customHeight="1" x14ac:dyDescent="0.25"/>
    <row r="2342" ht="15" customHeight="1" x14ac:dyDescent="0.25"/>
    <row r="2343" ht="15" customHeight="1" x14ac:dyDescent="0.25"/>
    <row r="2344" ht="15" customHeight="1" x14ac:dyDescent="0.25"/>
    <row r="2345" ht="15" customHeight="1" x14ac:dyDescent="0.25"/>
    <row r="2346" ht="15" customHeight="1" x14ac:dyDescent="0.25"/>
    <row r="2347" ht="15" customHeight="1" x14ac:dyDescent="0.25"/>
    <row r="2348" ht="15" customHeight="1" x14ac:dyDescent="0.25"/>
    <row r="2349" ht="15" customHeight="1" x14ac:dyDescent="0.25"/>
    <row r="2350" ht="15" customHeight="1" x14ac:dyDescent="0.25"/>
    <row r="2351" ht="15" customHeight="1" x14ac:dyDescent="0.25"/>
    <row r="2352" ht="15" customHeight="1" x14ac:dyDescent="0.25"/>
    <row r="2353" ht="15" customHeight="1" x14ac:dyDescent="0.25"/>
    <row r="2354" ht="15" customHeight="1" x14ac:dyDescent="0.25"/>
    <row r="2355" ht="15" customHeight="1" x14ac:dyDescent="0.25"/>
    <row r="2356" ht="15" customHeight="1" x14ac:dyDescent="0.25"/>
    <row r="2357" ht="15" customHeight="1" x14ac:dyDescent="0.25"/>
    <row r="2358" ht="15" customHeight="1" x14ac:dyDescent="0.25"/>
    <row r="2359" ht="15" customHeight="1" x14ac:dyDescent="0.25"/>
    <row r="2360" ht="15" customHeight="1" x14ac:dyDescent="0.25"/>
    <row r="2361" ht="15" customHeight="1" x14ac:dyDescent="0.25"/>
    <row r="2362" ht="15" customHeight="1" x14ac:dyDescent="0.25"/>
    <row r="2363" ht="15" customHeight="1" x14ac:dyDescent="0.25"/>
    <row r="2364" ht="15" customHeight="1" x14ac:dyDescent="0.25"/>
    <row r="2365" ht="15" customHeight="1" x14ac:dyDescent="0.25"/>
    <row r="2366" ht="15" customHeight="1" x14ac:dyDescent="0.25"/>
    <row r="2367" ht="15" customHeight="1" x14ac:dyDescent="0.25"/>
    <row r="2368" ht="15" customHeight="1" x14ac:dyDescent="0.25"/>
    <row r="2369" ht="15" customHeight="1" x14ac:dyDescent="0.25"/>
    <row r="2370" ht="15" customHeight="1" x14ac:dyDescent="0.25"/>
    <row r="2371" ht="15" customHeight="1" x14ac:dyDescent="0.25"/>
    <row r="2372" ht="15" customHeight="1" x14ac:dyDescent="0.25"/>
    <row r="2373" ht="15" customHeight="1" x14ac:dyDescent="0.25"/>
    <row r="2374" ht="15" customHeight="1" x14ac:dyDescent="0.25"/>
    <row r="2375" ht="15" customHeight="1" x14ac:dyDescent="0.25"/>
    <row r="2376" ht="15" customHeight="1" x14ac:dyDescent="0.25"/>
    <row r="2377" ht="15" customHeight="1" x14ac:dyDescent="0.25"/>
    <row r="2378" ht="15" customHeight="1" x14ac:dyDescent="0.25"/>
    <row r="2379" ht="15" customHeight="1" x14ac:dyDescent="0.25"/>
    <row r="2380" ht="15" customHeight="1" x14ac:dyDescent="0.25"/>
    <row r="2381" ht="15" customHeight="1" x14ac:dyDescent="0.25"/>
    <row r="2382" ht="15" customHeight="1" x14ac:dyDescent="0.25"/>
    <row r="2383" ht="15" customHeight="1" x14ac:dyDescent="0.25"/>
    <row r="2384" ht="15" customHeight="1" x14ac:dyDescent="0.25"/>
    <row r="2385" ht="15" customHeight="1" x14ac:dyDescent="0.25"/>
    <row r="2386" ht="15" customHeight="1" x14ac:dyDescent="0.25"/>
    <row r="2387" ht="15" customHeight="1" x14ac:dyDescent="0.25"/>
    <row r="2388" ht="15" customHeight="1" x14ac:dyDescent="0.25"/>
    <row r="2389" ht="15" customHeight="1" x14ac:dyDescent="0.25"/>
    <row r="2390" ht="15" customHeight="1" x14ac:dyDescent="0.25"/>
    <row r="2391" ht="15" customHeight="1" x14ac:dyDescent="0.25"/>
    <row r="2392" ht="15" customHeight="1" x14ac:dyDescent="0.25"/>
    <row r="2393" ht="15" customHeight="1" x14ac:dyDescent="0.25"/>
    <row r="2394" ht="15" customHeight="1" x14ac:dyDescent="0.25"/>
    <row r="2395" ht="15" customHeight="1" x14ac:dyDescent="0.25"/>
    <row r="2396" ht="15" customHeight="1" x14ac:dyDescent="0.25"/>
    <row r="2397" ht="15" customHeight="1" x14ac:dyDescent="0.25"/>
    <row r="2398" ht="15" customHeight="1" x14ac:dyDescent="0.25"/>
    <row r="2399" ht="15" customHeight="1" x14ac:dyDescent="0.25"/>
    <row r="2400" ht="15" customHeight="1" x14ac:dyDescent="0.25"/>
    <row r="2401" ht="15" customHeight="1" x14ac:dyDescent="0.25"/>
    <row r="2402" ht="15" customHeight="1" x14ac:dyDescent="0.25"/>
    <row r="2403" ht="15" customHeight="1" x14ac:dyDescent="0.25"/>
    <row r="2404" ht="15" customHeight="1" x14ac:dyDescent="0.25"/>
    <row r="2405" ht="15" customHeight="1" x14ac:dyDescent="0.25"/>
    <row r="2406" ht="15" customHeight="1" x14ac:dyDescent="0.25"/>
    <row r="2407" ht="15" customHeight="1" x14ac:dyDescent="0.25"/>
    <row r="2408" ht="15" customHeight="1" x14ac:dyDescent="0.25"/>
    <row r="2409" ht="15" customHeight="1" x14ac:dyDescent="0.25"/>
    <row r="2410" ht="15" customHeight="1" x14ac:dyDescent="0.25"/>
    <row r="2411" ht="15" customHeight="1" x14ac:dyDescent="0.25"/>
    <row r="2412" ht="15" customHeight="1" x14ac:dyDescent="0.25"/>
    <row r="2413" ht="15" customHeight="1" x14ac:dyDescent="0.25"/>
    <row r="2414" ht="15" customHeight="1" x14ac:dyDescent="0.25"/>
    <row r="2415" ht="15" customHeight="1" x14ac:dyDescent="0.25"/>
    <row r="2416" ht="15" customHeight="1" x14ac:dyDescent="0.25"/>
    <row r="2417" ht="15" customHeight="1" x14ac:dyDescent="0.25"/>
    <row r="2418" ht="15" customHeight="1" x14ac:dyDescent="0.25"/>
    <row r="2419" ht="15" customHeight="1" x14ac:dyDescent="0.25"/>
    <row r="2420" ht="15" customHeight="1" x14ac:dyDescent="0.25"/>
    <row r="2421" ht="15" customHeight="1" x14ac:dyDescent="0.25"/>
    <row r="2422" ht="15" customHeight="1" x14ac:dyDescent="0.25"/>
    <row r="2423" ht="15" customHeight="1" x14ac:dyDescent="0.25"/>
    <row r="2424" ht="15" customHeight="1" x14ac:dyDescent="0.25"/>
    <row r="2425" ht="15" customHeight="1" x14ac:dyDescent="0.25"/>
    <row r="2426" ht="15" customHeight="1" x14ac:dyDescent="0.25"/>
    <row r="2427" ht="15" customHeight="1" x14ac:dyDescent="0.25"/>
    <row r="2428" ht="15" customHeight="1" x14ac:dyDescent="0.25"/>
    <row r="2429" ht="15" customHeight="1" x14ac:dyDescent="0.25"/>
    <row r="2430" ht="15" customHeight="1" x14ac:dyDescent="0.25"/>
    <row r="2431" ht="15" customHeight="1" x14ac:dyDescent="0.25"/>
    <row r="2432" ht="15" customHeight="1" x14ac:dyDescent="0.25"/>
    <row r="2433" ht="15" customHeight="1" x14ac:dyDescent="0.25"/>
    <row r="2434" ht="15" customHeight="1" x14ac:dyDescent="0.25"/>
    <row r="2435" ht="15" customHeight="1" x14ac:dyDescent="0.25"/>
    <row r="2436" ht="15" customHeight="1" x14ac:dyDescent="0.25"/>
    <row r="2437" ht="15" customHeight="1" x14ac:dyDescent="0.25"/>
    <row r="2438" ht="15" customHeight="1" x14ac:dyDescent="0.25"/>
    <row r="2439" ht="15" customHeight="1" x14ac:dyDescent="0.25"/>
    <row r="2440" ht="15" customHeight="1" x14ac:dyDescent="0.25"/>
    <row r="2441" ht="15" customHeight="1" x14ac:dyDescent="0.25"/>
    <row r="2442" ht="15" customHeight="1" x14ac:dyDescent="0.25"/>
    <row r="2443" ht="15" customHeight="1" x14ac:dyDescent="0.25"/>
    <row r="2444" ht="15" customHeight="1" x14ac:dyDescent="0.25"/>
    <row r="2445" ht="15" customHeight="1" x14ac:dyDescent="0.25"/>
    <row r="2446" ht="15" customHeight="1" x14ac:dyDescent="0.25"/>
    <row r="2447" ht="15" customHeight="1" x14ac:dyDescent="0.25"/>
    <row r="2448" ht="15" customHeight="1" x14ac:dyDescent="0.25"/>
    <row r="2449" ht="15" customHeight="1" x14ac:dyDescent="0.25"/>
    <row r="2450" ht="15" customHeight="1" x14ac:dyDescent="0.25"/>
    <row r="2451" ht="15" customHeight="1" x14ac:dyDescent="0.25"/>
    <row r="2452" ht="15" customHeight="1" x14ac:dyDescent="0.25"/>
    <row r="2453" ht="15" customHeight="1" x14ac:dyDescent="0.25"/>
    <row r="2454" ht="15" customHeight="1" x14ac:dyDescent="0.25"/>
    <row r="2455" ht="15" customHeight="1" x14ac:dyDescent="0.25"/>
    <row r="2456" ht="15" customHeight="1" x14ac:dyDescent="0.25"/>
    <row r="2457" ht="15" customHeight="1" x14ac:dyDescent="0.25"/>
    <row r="2458" ht="15" customHeight="1" x14ac:dyDescent="0.25"/>
    <row r="2459" ht="15" customHeight="1" x14ac:dyDescent="0.25"/>
    <row r="2460" ht="15" customHeight="1" x14ac:dyDescent="0.25"/>
    <row r="2461" ht="15" customHeight="1" x14ac:dyDescent="0.25"/>
    <row r="2462" ht="15" customHeight="1" x14ac:dyDescent="0.25"/>
    <row r="2463" ht="15" customHeight="1" x14ac:dyDescent="0.25"/>
    <row r="2464" ht="15" customHeight="1" x14ac:dyDescent="0.25"/>
    <row r="2465" ht="15" customHeight="1" x14ac:dyDescent="0.25"/>
    <row r="2466" ht="15" customHeight="1" x14ac:dyDescent="0.25"/>
    <row r="2467" ht="15" customHeight="1" x14ac:dyDescent="0.25"/>
    <row r="2468" ht="15" customHeight="1" x14ac:dyDescent="0.25"/>
    <row r="2469" ht="15" customHeight="1" x14ac:dyDescent="0.25"/>
    <row r="2470" ht="15" customHeight="1" x14ac:dyDescent="0.25"/>
    <row r="2471" ht="15" customHeight="1" x14ac:dyDescent="0.25"/>
    <row r="2472" ht="15" customHeight="1" x14ac:dyDescent="0.25"/>
    <row r="2473" ht="15" customHeight="1" x14ac:dyDescent="0.25"/>
    <row r="2474" ht="15" customHeight="1" x14ac:dyDescent="0.25"/>
    <row r="2475" ht="15" customHeight="1" x14ac:dyDescent="0.25"/>
    <row r="2476" ht="15" customHeight="1" x14ac:dyDescent="0.25"/>
    <row r="2477" ht="15" customHeight="1" x14ac:dyDescent="0.25"/>
    <row r="2478" ht="15" customHeight="1" x14ac:dyDescent="0.25"/>
    <row r="2479" ht="15" customHeight="1" x14ac:dyDescent="0.25"/>
    <row r="2480" ht="15" customHeight="1" x14ac:dyDescent="0.25"/>
    <row r="2481" ht="15" customHeight="1" x14ac:dyDescent="0.25"/>
    <row r="2482" ht="15" customHeight="1" x14ac:dyDescent="0.25"/>
    <row r="2483" ht="15" customHeight="1" x14ac:dyDescent="0.25"/>
    <row r="2484" ht="15" customHeight="1" x14ac:dyDescent="0.25"/>
    <row r="2485" ht="15" customHeight="1" x14ac:dyDescent="0.25"/>
    <row r="2486" ht="15" customHeight="1" x14ac:dyDescent="0.25"/>
    <row r="2487" ht="15" customHeight="1" x14ac:dyDescent="0.25"/>
    <row r="2488" ht="15" customHeight="1" x14ac:dyDescent="0.25"/>
    <row r="2489" ht="15" customHeight="1" x14ac:dyDescent="0.25"/>
    <row r="2490" ht="15" customHeight="1" x14ac:dyDescent="0.25"/>
    <row r="2491" ht="15" customHeight="1" x14ac:dyDescent="0.25"/>
    <row r="2492" ht="15" customHeight="1" x14ac:dyDescent="0.25"/>
    <row r="2493" ht="15" customHeight="1" x14ac:dyDescent="0.25"/>
    <row r="2494" ht="15" customHeight="1" x14ac:dyDescent="0.25"/>
    <row r="2495" ht="15" customHeight="1" x14ac:dyDescent="0.25"/>
    <row r="2496" ht="15" customHeight="1" x14ac:dyDescent="0.25"/>
    <row r="2497" ht="15" customHeight="1" x14ac:dyDescent="0.25"/>
    <row r="2498" ht="15" customHeight="1" x14ac:dyDescent="0.25"/>
    <row r="2499" ht="15" customHeight="1" x14ac:dyDescent="0.25"/>
    <row r="2500" ht="15" customHeight="1" x14ac:dyDescent="0.25"/>
    <row r="2501" ht="15" customHeight="1" x14ac:dyDescent="0.25"/>
    <row r="2502" ht="15" customHeight="1" x14ac:dyDescent="0.25"/>
    <row r="2503" ht="15" customHeight="1" x14ac:dyDescent="0.25"/>
    <row r="2504" ht="15" customHeight="1" x14ac:dyDescent="0.25"/>
    <row r="2505" ht="15" customHeight="1" x14ac:dyDescent="0.25"/>
    <row r="2506" ht="15" customHeight="1" x14ac:dyDescent="0.25"/>
    <row r="2507" ht="15" customHeight="1" x14ac:dyDescent="0.25"/>
    <row r="2508" ht="15" customHeight="1" x14ac:dyDescent="0.25"/>
    <row r="2509" ht="15" customHeight="1" x14ac:dyDescent="0.25"/>
    <row r="2510" ht="15" customHeight="1" x14ac:dyDescent="0.25"/>
    <row r="2511" ht="15" customHeight="1" x14ac:dyDescent="0.25"/>
    <row r="2512" ht="15" customHeight="1" x14ac:dyDescent="0.25"/>
    <row r="2513" ht="15" customHeight="1" x14ac:dyDescent="0.25"/>
    <row r="2514" ht="15" customHeight="1" x14ac:dyDescent="0.25"/>
    <row r="2515" ht="15" customHeight="1" x14ac:dyDescent="0.25"/>
    <row r="2516" ht="15" customHeight="1" x14ac:dyDescent="0.25"/>
    <row r="2517" ht="15" customHeight="1" x14ac:dyDescent="0.25"/>
    <row r="2518" ht="15" customHeight="1" x14ac:dyDescent="0.25"/>
    <row r="2519" ht="15" customHeight="1" x14ac:dyDescent="0.25"/>
    <row r="2520" ht="15" customHeight="1" x14ac:dyDescent="0.25"/>
    <row r="2521" ht="15" customHeight="1" x14ac:dyDescent="0.25"/>
    <row r="2522" ht="15" customHeight="1" x14ac:dyDescent="0.25"/>
    <row r="2523" ht="15" customHeight="1" x14ac:dyDescent="0.25"/>
    <row r="2524" ht="15" customHeight="1" x14ac:dyDescent="0.25"/>
    <row r="2525" ht="15" customHeight="1" x14ac:dyDescent="0.25"/>
    <row r="2526" ht="15" customHeight="1" x14ac:dyDescent="0.25"/>
    <row r="2527" ht="15" customHeight="1" x14ac:dyDescent="0.25"/>
    <row r="2528" ht="15" customHeight="1" x14ac:dyDescent="0.25"/>
    <row r="2529" ht="15" customHeight="1" x14ac:dyDescent="0.25"/>
    <row r="2530" ht="15" customHeight="1" x14ac:dyDescent="0.25"/>
    <row r="2531" ht="15" customHeight="1" x14ac:dyDescent="0.25"/>
    <row r="2532" ht="15" customHeight="1" x14ac:dyDescent="0.25"/>
    <row r="2533" ht="15" customHeight="1" x14ac:dyDescent="0.25"/>
    <row r="2534" ht="15" customHeight="1" x14ac:dyDescent="0.25"/>
    <row r="2535" ht="15" customHeight="1" x14ac:dyDescent="0.25"/>
    <row r="2536" ht="15" customHeight="1" x14ac:dyDescent="0.25"/>
    <row r="2537" ht="15" customHeight="1" x14ac:dyDescent="0.25"/>
    <row r="2538" ht="15" customHeight="1" x14ac:dyDescent="0.25"/>
    <row r="2539" ht="15" customHeight="1" x14ac:dyDescent="0.25"/>
    <row r="2540" ht="15" customHeight="1" x14ac:dyDescent="0.25"/>
    <row r="2541" ht="15" customHeight="1" x14ac:dyDescent="0.25"/>
    <row r="2542" ht="15" customHeight="1" x14ac:dyDescent="0.25"/>
    <row r="2543" ht="15" customHeight="1" x14ac:dyDescent="0.25"/>
    <row r="2544" ht="15" customHeight="1" x14ac:dyDescent="0.25"/>
    <row r="2545" ht="15" customHeight="1" x14ac:dyDescent="0.25"/>
    <row r="2546" ht="15" customHeight="1" x14ac:dyDescent="0.25"/>
    <row r="2547" ht="15" customHeight="1" x14ac:dyDescent="0.25"/>
    <row r="2548" ht="15" customHeight="1" x14ac:dyDescent="0.25"/>
    <row r="2549" ht="15" customHeight="1" x14ac:dyDescent="0.25"/>
    <row r="2550" ht="15" customHeight="1" x14ac:dyDescent="0.25"/>
    <row r="2551" ht="15" customHeight="1" x14ac:dyDescent="0.25"/>
    <row r="2552" ht="15" customHeight="1" x14ac:dyDescent="0.25"/>
    <row r="2553" ht="15" customHeight="1" x14ac:dyDescent="0.25"/>
    <row r="2554" ht="15" customHeight="1" x14ac:dyDescent="0.25"/>
    <row r="2555" ht="15" customHeight="1" x14ac:dyDescent="0.25"/>
    <row r="2556" ht="15" customHeight="1" x14ac:dyDescent="0.25"/>
    <row r="2557" ht="15" customHeight="1" x14ac:dyDescent="0.25"/>
    <row r="2558" ht="15" customHeight="1" x14ac:dyDescent="0.25"/>
    <row r="2559" ht="15" customHeight="1" x14ac:dyDescent="0.25"/>
    <row r="2560" ht="15" customHeight="1" x14ac:dyDescent="0.25"/>
    <row r="2561" ht="15" customHeight="1" x14ac:dyDescent="0.25"/>
    <row r="2562" ht="15" customHeight="1" x14ac:dyDescent="0.25"/>
    <row r="2563" ht="15" customHeight="1" x14ac:dyDescent="0.25"/>
    <row r="2564" ht="15" customHeight="1" x14ac:dyDescent="0.25"/>
    <row r="2565" ht="15" customHeight="1" x14ac:dyDescent="0.25"/>
    <row r="2566" ht="15" customHeight="1" x14ac:dyDescent="0.25"/>
    <row r="2567" ht="15" customHeight="1" x14ac:dyDescent="0.25"/>
    <row r="2568" ht="15" customHeight="1" x14ac:dyDescent="0.25"/>
    <row r="2569" ht="15" customHeight="1" x14ac:dyDescent="0.25"/>
    <row r="2570" ht="15" customHeight="1" x14ac:dyDescent="0.25"/>
    <row r="2571" ht="15" customHeight="1" x14ac:dyDescent="0.25"/>
    <row r="2572" ht="15" customHeight="1" x14ac:dyDescent="0.25"/>
    <row r="2573" ht="15" customHeight="1" x14ac:dyDescent="0.25"/>
    <row r="2574" ht="15" customHeight="1" x14ac:dyDescent="0.25"/>
    <row r="2575" ht="15" customHeight="1" x14ac:dyDescent="0.25"/>
    <row r="2576" ht="15" customHeight="1" x14ac:dyDescent="0.25"/>
    <row r="2577" ht="15" customHeight="1" x14ac:dyDescent="0.25"/>
    <row r="2578" ht="15" customHeight="1" x14ac:dyDescent="0.25"/>
    <row r="2579" ht="15" customHeight="1" x14ac:dyDescent="0.25"/>
    <row r="2580" ht="15" customHeight="1" x14ac:dyDescent="0.25"/>
    <row r="2581" ht="15" customHeight="1" x14ac:dyDescent="0.25"/>
    <row r="2582" ht="15" customHeight="1" x14ac:dyDescent="0.25"/>
    <row r="2583" ht="15" customHeight="1" x14ac:dyDescent="0.25"/>
    <row r="2584" ht="15" customHeight="1" x14ac:dyDescent="0.25"/>
    <row r="2585" ht="15" customHeight="1" x14ac:dyDescent="0.25"/>
    <row r="2586" ht="15" customHeight="1" x14ac:dyDescent="0.25"/>
    <row r="2587" ht="15" customHeight="1" x14ac:dyDescent="0.25"/>
    <row r="2588" ht="15" customHeight="1" x14ac:dyDescent="0.25"/>
    <row r="2589" ht="15" customHeight="1" x14ac:dyDescent="0.25"/>
    <row r="2590" ht="15" customHeight="1" x14ac:dyDescent="0.25"/>
    <row r="2591" ht="15" customHeight="1" x14ac:dyDescent="0.25"/>
    <row r="2592" ht="15" customHeight="1" x14ac:dyDescent="0.25"/>
    <row r="2593" ht="15" customHeight="1" x14ac:dyDescent="0.25"/>
    <row r="2594" ht="15" customHeight="1" x14ac:dyDescent="0.25"/>
    <row r="2595" ht="15" customHeight="1" x14ac:dyDescent="0.25"/>
    <row r="2596" ht="15" customHeight="1" x14ac:dyDescent="0.25"/>
    <row r="2597" ht="15" customHeight="1" x14ac:dyDescent="0.25"/>
    <row r="2598" ht="15" customHeight="1" x14ac:dyDescent="0.25"/>
    <row r="2599" ht="15" customHeight="1" x14ac:dyDescent="0.25"/>
    <row r="2600" ht="15" customHeight="1" x14ac:dyDescent="0.25"/>
    <row r="2601" ht="15" customHeight="1" x14ac:dyDescent="0.25"/>
    <row r="2602" ht="15" customHeight="1" x14ac:dyDescent="0.25"/>
    <row r="2603" ht="15" customHeight="1" x14ac:dyDescent="0.25"/>
    <row r="2604" ht="15" customHeight="1" x14ac:dyDescent="0.25"/>
    <row r="2605" ht="15" customHeight="1" x14ac:dyDescent="0.25"/>
    <row r="2606" ht="15" customHeight="1" x14ac:dyDescent="0.25"/>
    <row r="2607" ht="15" customHeight="1" x14ac:dyDescent="0.25"/>
    <row r="2608" ht="15" customHeight="1" x14ac:dyDescent="0.25"/>
    <row r="2609" ht="15" customHeight="1" x14ac:dyDescent="0.25"/>
    <row r="2610" ht="15" customHeight="1" x14ac:dyDescent="0.25"/>
    <row r="2611" ht="15" customHeight="1" x14ac:dyDescent="0.25"/>
    <row r="2612" ht="15" customHeight="1" x14ac:dyDescent="0.25"/>
    <row r="2613" ht="15" customHeight="1" x14ac:dyDescent="0.25"/>
    <row r="2614" ht="15" customHeight="1" x14ac:dyDescent="0.25"/>
    <row r="2615" ht="15" customHeight="1" x14ac:dyDescent="0.25"/>
    <row r="2616" ht="15" customHeight="1" x14ac:dyDescent="0.25"/>
    <row r="2617" ht="15" customHeight="1" x14ac:dyDescent="0.25"/>
    <row r="2618" ht="15" customHeight="1" x14ac:dyDescent="0.25"/>
    <row r="2619" ht="15" customHeight="1" x14ac:dyDescent="0.25"/>
    <row r="2620" ht="15" customHeight="1" x14ac:dyDescent="0.25"/>
    <row r="2621" ht="15" customHeight="1" x14ac:dyDescent="0.25"/>
    <row r="2622" ht="15" customHeight="1" x14ac:dyDescent="0.25"/>
    <row r="2623" ht="15" customHeight="1" x14ac:dyDescent="0.25"/>
    <row r="2624" ht="15" customHeight="1" x14ac:dyDescent="0.25"/>
    <row r="2625" ht="15" customHeight="1" x14ac:dyDescent="0.25"/>
    <row r="2626" ht="15" customHeight="1" x14ac:dyDescent="0.25"/>
    <row r="2627" ht="15" customHeight="1" x14ac:dyDescent="0.25"/>
    <row r="2628" ht="15" customHeight="1" x14ac:dyDescent="0.25"/>
    <row r="2629" ht="15" customHeight="1" x14ac:dyDescent="0.25"/>
    <row r="2630" ht="15" customHeight="1" x14ac:dyDescent="0.25"/>
    <row r="2631" ht="15" customHeight="1" x14ac:dyDescent="0.25"/>
    <row r="2632" ht="15" customHeight="1" x14ac:dyDescent="0.25"/>
    <row r="2633" ht="15" customHeight="1" x14ac:dyDescent="0.25"/>
    <row r="2634" ht="15" customHeight="1" x14ac:dyDescent="0.25"/>
    <row r="2635" ht="15" customHeight="1" x14ac:dyDescent="0.25"/>
    <row r="2636" ht="15" customHeight="1" x14ac:dyDescent="0.25"/>
    <row r="2637" ht="15" customHeight="1" x14ac:dyDescent="0.25"/>
    <row r="2638" ht="15" customHeight="1" x14ac:dyDescent="0.25"/>
    <row r="2639" ht="15" customHeight="1" x14ac:dyDescent="0.25"/>
    <row r="2640" ht="15" customHeight="1" x14ac:dyDescent="0.25"/>
    <row r="2641" ht="15" customHeight="1" x14ac:dyDescent="0.25"/>
    <row r="2642" ht="15" customHeight="1" x14ac:dyDescent="0.25"/>
    <row r="2643" ht="15" customHeight="1" x14ac:dyDescent="0.25"/>
    <row r="2644" ht="15" customHeight="1" x14ac:dyDescent="0.25"/>
    <row r="2645" ht="15" customHeight="1" x14ac:dyDescent="0.25"/>
    <row r="2646" ht="15" customHeight="1" x14ac:dyDescent="0.25"/>
    <row r="2647" ht="15" customHeight="1" x14ac:dyDescent="0.25"/>
    <row r="2648" ht="15" customHeight="1" x14ac:dyDescent="0.25"/>
    <row r="2649" ht="15" customHeight="1" x14ac:dyDescent="0.25"/>
    <row r="2650" ht="15" customHeight="1" x14ac:dyDescent="0.25"/>
    <row r="2651" ht="15" customHeight="1" x14ac:dyDescent="0.25"/>
    <row r="2652" ht="15" customHeight="1" x14ac:dyDescent="0.25"/>
    <row r="2653" ht="15" customHeight="1" x14ac:dyDescent="0.25"/>
    <row r="2654" ht="15" customHeight="1" x14ac:dyDescent="0.25"/>
    <row r="2655" ht="15" customHeight="1" x14ac:dyDescent="0.25"/>
    <row r="2656" ht="15" customHeight="1" x14ac:dyDescent="0.25"/>
    <row r="2657" ht="15" customHeight="1" x14ac:dyDescent="0.25"/>
    <row r="2658" ht="15" customHeight="1" x14ac:dyDescent="0.25"/>
    <row r="2659" ht="15" customHeight="1" x14ac:dyDescent="0.25"/>
    <row r="2660" ht="15" customHeight="1" x14ac:dyDescent="0.25"/>
    <row r="2661" ht="15" customHeight="1" x14ac:dyDescent="0.25"/>
    <row r="2662" ht="15" customHeight="1" x14ac:dyDescent="0.25"/>
    <row r="2663" ht="15" customHeight="1" x14ac:dyDescent="0.25"/>
    <row r="2664" ht="15" customHeight="1" x14ac:dyDescent="0.25"/>
    <row r="2665" ht="15" customHeight="1" x14ac:dyDescent="0.25"/>
    <row r="2666" ht="15" customHeight="1" x14ac:dyDescent="0.25"/>
    <row r="2667" ht="15" customHeight="1" x14ac:dyDescent="0.25"/>
    <row r="2668" ht="15" customHeight="1" x14ac:dyDescent="0.25"/>
    <row r="2669" ht="15" customHeight="1" x14ac:dyDescent="0.25"/>
    <row r="2670" ht="15" customHeight="1" x14ac:dyDescent="0.25"/>
    <row r="2671" ht="15" customHeight="1" x14ac:dyDescent="0.25"/>
    <row r="2672" ht="15" customHeight="1" x14ac:dyDescent="0.25"/>
    <row r="2673" ht="15" customHeight="1" x14ac:dyDescent="0.25"/>
    <row r="2674" ht="15" customHeight="1" x14ac:dyDescent="0.25"/>
    <row r="2675" ht="15" customHeight="1" x14ac:dyDescent="0.25"/>
    <row r="2676" ht="15" customHeight="1" x14ac:dyDescent="0.25"/>
    <row r="2677" ht="15" customHeight="1" x14ac:dyDescent="0.25"/>
    <row r="2678" ht="15" customHeight="1" x14ac:dyDescent="0.25"/>
    <row r="2679" ht="15" customHeight="1" x14ac:dyDescent="0.25"/>
    <row r="2680" ht="15" customHeight="1" x14ac:dyDescent="0.25"/>
    <row r="2681" ht="15" customHeight="1" x14ac:dyDescent="0.25"/>
    <row r="2682" ht="15" customHeight="1" x14ac:dyDescent="0.25"/>
    <row r="2683" ht="15" customHeight="1" x14ac:dyDescent="0.25"/>
    <row r="2684" ht="15" customHeight="1" x14ac:dyDescent="0.25"/>
    <row r="2685" ht="15" customHeight="1" x14ac:dyDescent="0.25"/>
    <row r="2686" ht="15" customHeight="1" x14ac:dyDescent="0.25"/>
    <row r="2687" ht="15" customHeight="1" x14ac:dyDescent="0.25"/>
    <row r="2688" ht="15" customHeight="1" x14ac:dyDescent="0.25"/>
    <row r="2689" ht="15" customHeight="1" x14ac:dyDescent="0.25"/>
    <row r="2690" ht="15" customHeight="1" x14ac:dyDescent="0.25"/>
    <row r="2691" ht="15" customHeight="1" x14ac:dyDescent="0.25"/>
    <row r="2692" ht="15" customHeight="1" x14ac:dyDescent="0.25"/>
    <row r="2693" ht="15" customHeight="1" x14ac:dyDescent="0.25"/>
    <row r="2694" ht="15" customHeight="1" x14ac:dyDescent="0.25"/>
    <row r="2695" ht="15" customHeight="1" x14ac:dyDescent="0.25"/>
    <row r="2696" ht="15" customHeight="1" x14ac:dyDescent="0.25"/>
    <row r="2697" ht="15" customHeight="1" x14ac:dyDescent="0.25"/>
    <row r="2698" ht="15" customHeight="1" x14ac:dyDescent="0.25"/>
    <row r="2699" ht="15" customHeight="1" x14ac:dyDescent="0.25"/>
    <row r="2700" ht="15" customHeight="1" x14ac:dyDescent="0.25"/>
    <row r="2701" ht="15" customHeight="1" x14ac:dyDescent="0.25"/>
    <row r="2702" ht="15" customHeight="1" x14ac:dyDescent="0.25"/>
    <row r="2703" ht="15" customHeight="1" x14ac:dyDescent="0.25"/>
    <row r="2704" ht="15" customHeight="1" x14ac:dyDescent="0.25"/>
    <row r="2705" ht="15" customHeight="1" x14ac:dyDescent="0.25"/>
    <row r="2706" ht="15" customHeight="1" x14ac:dyDescent="0.25"/>
    <row r="2707" ht="15" customHeight="1" x14ac:dyDescent="0.25"/>
    <row r="2708" ht="15" customHeight="1" x14ac:dyDescent="0.25"/>
    <row r="2709" ht="15" customHeight="1" x14ac:dyDescent="0.25"/>
    <row r="2710" ht="15" customHeight="1" x14ac:dyDescent="0.25"/>
    <row r="2711" ht="15" customHeight="1" x14ac:dyDescent="0.25"/>
    <row r="2712" ht="15" customHeight="1" x14ac:dyDescent="0.25"/>
    <row r="2713" ht="15" customHeight="1" x14ac:dyDescent="0.25"/>
    <row r="2714" ht="15" customHeight="1" x14ac:dyDescent="0.25"/>
    <row r="2715" ht="15" customHeight="1" x14ac:dyDescent="0.25"/>
    <row r="2716" ht="15" customHeight="1" x14ac:dyDescent="0.25"/>
    <row r="2717" ht="15" customHeight="1" x14ac:dyDescent="0.25"/>
    <row r="2718" ht="15" customHeight="1" x14ac:dyDescent="0.25"/>
    <row r="2719" ht="15" customHeight="1" x14ac:dyDescent="0.25"/>
    <row r="2720" ht="15" customHeight="1" x14ac:dyDescent="0.25"/>
    <row r="2721" ht="15" customHeight="1" x14ac:dyDescent="0.25"/>
    <row r="2722" ht="15" customHeight="1" x14ac:dyDescent="0.25"/>
    <row r="2723" ht="15" customHeight="1" x14ac:dyDescent="0.25"/>
    <row r="2724" ht="15" customHeight="1" x14ac:dyDescent="0.25"/>
    <row r="2725" ht="15" customHeight="1" x14ac:dyDescent="0.25"/>
    <row r="2726" ht="15" customHeight="1" x14ac:dyDescent="0.25"/>
    <row r="2727" ht="15" customHeight="1" x14ac:dyDescent="0.25"/>
    <row r="2728" ht="15" customHeight="1" x14ac:dyDescent="0.25"/>
    <row r="2729" ht="15" customHeight="1" x14ac:dyDescent="0.25"/>
    <row r="2730" ht="15" customHeight="1" x14ac:dyDescent="0.25"/>
    <row r="2731" ht="15" customHeight="1" x14ac:dyDescent="0.25"/>
    <row r="2732" ht="15" customHeight="1" x14ac:dyDescent="0.25"/>
    <row r="2733" ht="15" customHeight="1" x14ac:dyDescent="0.25"/>
    <row r="2734" ht="15" customHeight="1" x14ac:dyDescent="0.25"/>
    <row r="2735" ht="15" customHeight="1" x14ac:dyDescent="0.25"/>
    <row r="2736" ht="15" customHeight="1" x14ac:dyDescent="0.25"/>
    <row r="2737" ht="15" customHeight="1" x14ac:dyDescent="0.25"/>
    <row r="2738" ht="15" customHeight="1" x14ac:dyDescent="0.25"/>
    <row r="2739" ht="15" customHeight="1" x14ac:dyDescent="0.25"/>
    <row r="2740" ht="15" customHeight="1" x14ac:dyDescent="0.25"/>
    <row r="2741" ht="15" customHeight="1" x14ac:dyDescent="0.25"/>
    <row r="2742" ht="15" customHeight="1" x14ac:dyDescent="0.25"/>
    <row r="2743" ht="15" customHeight="1" x14ac:dyDescent="0.25"/>
    <row r="2744" ht="15" customHeight="1" x14ac:dyDescent="0.25"/>
    <row r="2745" ht="15" customHeight="1" x14ac:dyDescent="0.25"/>
    <row r="2746" ht="15" customHeight="1" x14ac:dyDescent="0.25"/>
    <row r="2747" ht="15" customHeight="1" x14ac:dyDescent="0.25"/>
    <row r="2748" ht="15" customHeight="1" x14ac:dyDescent="0.25"/>
    <row r="2749" ht="15" customHeight="1" x14ac:dyDescent="0.25"/>
    <row r="2750" ht="15" customHeight="1" x14ac:dyDescent="0.25"/>
    <row r="2751" ht="15" customHeight="1" x14ac:dyDescent="0.25"/>
    <row r="2752" ht="15" customHeight="1" x14ac:dyDescent="0.25"/>
    <row r="2753" ht="15" customHeight="1" x14ac:dyDescent="0.25"/>
    <row r="2754" ht="15" customHeight="1" x14ac:dyDescent="0.25"/>
    <row r="2755" ht="15" customHeight="1" x14ac:dyDescent="0.25"/>
    <row r="2756" ht="15" customHeight="1" x14ac:dyDescent="0.25"/>
    <row r="2757" ht="15" customHeight="1" x14ac:dyDescent="0.25"/>
    <row r="2758" ht="15" customHeight="1" x14ac:dyDescent="0.25"/>
    <row r="2759" ht="15" customHeight="1" x14ac:dyDescent="0.25"/>
    <row r="2760" ht="15" customHeight="1" x14ac:dyDescent="0.25"/>
    <row r="2761" ht="15" customHeight="1" x14ac:dyDescent="0.25"/>
    <row r="2762" ht="15" customHeight="1" x14ac:dyDescent="0.25"/>
    <row r="2763" ht="15" customHeight="1" x14ac:dyDescent="0.25"/>
    <row r="2764" ht="15" customHeight="1" x14ac:dyDescent="0.25"/>
    <row r="2765" ht="15" customHeight="1" x14ac:dyDescent="0.25"/>
    <row r="2766" ht="15" customHeight="1" x14ac:dyDescent="0.25"/>
    <row r="2767" ht="15" customHeight="1" x14ac:dyDescent="0.25"/>
    <row r="2768" ht="15" customHeight="1" x14ac:dyDescent="0.25"/>
    <row r="2769" ht="15" customHeight="1" x14ac:dyDescent="0.25"/>
    <row r="2770" ht="15" customHeight="1" x14ac:dyDescent="0.25"/>
    <row r="2771" ht="15" customHeight="1" x14ac:dyDescent="0.25"/>
    <row r="2772" ht="15" customHeight="1" x14ac:dyDescent="0.25"/>
    <row r="2773" ht="15" customHeight="1" x14ac:dyDescent="0.25"/>
    <row r="2774" ht="15" customHeight="1" x14ac:dyDescent="0.25"/>
    <row r="2775" ht="15" customHeight="1" x14ac:dyDescent="0.25"/>
    <row r="2776" ht="15" customHeight="1" x14ac:dyDescent="0.25"/>
    <row r="2777" ht="15" customHeight="1" x14ac:dyDescent="0.25"/>
    <row r="2778" ht="15" customHeight="1" x14ac:dyDescent="0.25"/>
    <row r="2779" ht="15" customHeight="1" x14ac:dyDescent="0.25"/>
    <row r="2780" ht="15" customHeight="1" x14ac:dyDescent="0.25"/>
    <row r="2781" ht="15" customHeight="1" x14ac:dyDescent="0.25"/>
    <row r="2782" ht="15" customHeight="1" x14ac:dyDescent="0.25"/>
    <row r="2783" ht="15" customHeight="1" x14ac:dyDescent="0.25"/>
    <row r="2784" ht="15" customHeight="1" x14ac:dyDescent="0.25"/>
    <row r="2785" ht="15" customHeight="1" x14ac:dyDescent="0.25"/>
    <row r="2786" ht="15" customHeight="1" x14ac:dyDescent="0.25"/>
    <row r="2787" ht="15" customHeight="1" x14ac:dyDescent="0.25"/>
    <row r="2788" ht="15" customHeight="1" x14ac:dyDescent="0.25"/>
    <row r="2789" ht="15" customHeight="1" x14ac:dyDescent="0.25"/>
    <row r="2790" ht="15" customHeight="1" x14ac:dyDescent="0.25"/>
    <row r="2791" ht="15" customHeight="1" x14ac:dyDescent="0.25"/>
    <row r="2792" ht="15" customHeight="1" x14ac:dyDescent="0.25"/>
    <row r="2793" ht="15" customHeight="1" x14ac:dyDescent="0.25"/>
    <row r="2794" ht="15" customHeight="1" x14ac:dyDescent="0.25"/>
    <row r="2795" ht="15" customHeight="1" x14ac:dyDescent="0.25"/>
    <row r="2796" ht="15" customHeight="1" x14ac:dyDescent="0.25"/>
    <row r="2797" ht="15" customHeight="1" x14ac:dyDescent="0.25"/>
    <row r="2798" ht="15" customHeight="1" x14ac:dyDescent="0.25"/>
    <row r="2799" ht="15" customHeight="1" x14ac:dyDescent="0.25"/>
    <row r="2800" ht="15" customHeight="1" x14ac:dyDescent="0.25"/>
    <row r="2801" ht="15" customHeight="1" x14ac:dyDescent="0.25"/>
    <row r="2802" ht="15" customHeight="1" x14ac:dyDescent="0.25"/>
    <row r="2803" ht="15" customHeight="1" x14ac:dyDescent="0.25"/>
    <row r="2804" ht="15" customHeight="1" x14ac:dyDescent="0.25"/>
    <row r="2805" ht="15" customHeight="1" x14ac:dyDescent="0.25"/>
    <row r="2806" ht="15" customHeight="1" x14ac:dyDescent="0.25"/>
    <row r="2807" ht="15" customHeight="1" x14ac:dyDescent="0.25"/>
    <row r="2808" ht="15" customHeight="1" x14ac:dyDescent="0.25"/>
    <row r="2809" ht="15" customHeight="1" x14ac:dyDescent="0.25"/>
    <row r="2810" ht="15" customHeight="1" x14ac:dyDescent="0.25"/>
    <row r="2811" ht="15" customHeight="1" x14ac:dyDescent="0.25"/>
    <row r="2812" ht="15" customHeight="1" x14ac:dyDescent="0.25"/>
    <row r="2813" ht="15" customHeight="1" x14ac:dyDescent="0.25"/>
    <row r="2814" ht="15" customHeight="1" x14ac:dyDescent="0.25"/>
    <row r="2815" ht="15" customHeight="1" x14ac:dyDescent="0.25"/>
    <row r="2816" ht="15" customHeight="1" x14ac:dyDescent="0.25"/>
    <row r="2817" ht="15" customHeight="1" x14ac:dyDescent="0.25"/>
    <row r="2818" ht="15" customHeight="1" x14ac:dyDescent="0.25"/>
    <row r="2819" ht="15" customHeight="1" x14ac:dyDescent="0.25"/>
    <row r="2820" ht="15" customHeight="1" x14ac:dyDescent="0.25"/>
    <row r="2821" ht="15" customHeight="1" x14ac:dyDescent="0.25"/>
    <row r="2822" ht="15" customHeight="1" x14ac:dyDescent="0.25"/>
    <row r="2823" ht="15" customHeight="1" x14ac:dyDescent="0.25"/>
    <row r="2824" ht="15" customHeight="1" x14ac:dyDescent="0.25"/>
    <row r="2825" ht="15" customHeight="1" x14ac:dyDescent="0.25"/>
    <row r="2826" ht="15" customHeight="1" x14ac:dyDescent="0.25"/>
    <row r="2827" ht="15" customHeight="1" x14ac:dyDescent="0.25"/>
    <row r="2828" ht="15" customHeight="1" x14ac:dyDescent="0.25"/>
    <row r="2829" ht="15" customHeight="1" x14ac:dyDescent="0.25"/>
    <row r="2830" ht="15" customHeight="1" x14ac:dyDescent="0.25"/>
    <row r="2831" ht="15" customHeight="1" x14ac:dyDescent="0.25"/>
    <row r="2832" ht="15" customHeight="1" x14ac:dyDescent="0.25"/>
    <row r="2833" ht="15" customHeight="1" x14ac:dyDescent="0.25"/>
    <row r="2834" ht="15" customHeight="1" x14ac:dyDescent="0.25"/>
    <row r="2835" ht="15" customHeight="1" x14ac:dyDescent="0.25"/>
    <row r="2836" ht="15" customHeight="1" x14ac:dyDescent="0.25"/>
    <row r="2837" ht="15" customHeight="1" x14ac:dyDescent="0.25"/>
    <row r="2838" ht="15" customHeight="1" x14ac:dyDescent="0.25"/>
    <row r="2839" ht="15" customHeight="1" x14ac:dyDescent="0.25"/>
    <row r="2840" ht="15" customHeight="1" x14ac:dyDescent="0.25"/>
    <row r="2841" ht="15" customHeight="1" x14ac:dyDescent="0.25"/>
    <row r="2842" ht="15" customHeight="1" x14ac:dyDescent="0.25"/>
    <row r="2843" ht="15" customHeight="1" x14ac:dyDescent="0.25"/>
    <row r="2844" ht="15" customHeight="1" x14ac:dyDescent="0.25"/>
    <row r="2845" ht="15" customHeight="1" x14ac:dyDescent="0.25"/>
    <row r="2846" ht="15" customHeight="1" x14ac:dyDescent="0.25"/>
    <row r="2847" ht="15" customHeight="1" x14ac:dyDescent="0.25"/>
    <row r="2848" ht="15" customHeight="1" x14ac:dyDescent="0.25"/>
    <row r="2849" ht="15" customHeight="1" x14ac:dyDescent="0.25"/>
    <row r="2850" ht="15" customHeight="1" x14ac:dyDescent="0.25"/>
    <row r="2851" ht="15" customHeight="1" x14ac:dyDescent="0.25"/>
    <row r="2852" ht="15" customHeight="1" x14ac:dyDescent="0.25"/>
    <row r="2853" ht="15" customHeight="1" x14ac:dyDescent="0.25"/>
    <row r="2854" ht="15" customHeight="1" x14ac:dyDescent="0.25"/>
    <row r="2855" ht="15" customHeight="1" x14ac:dyDescent="0.25"/>
    <row r="2856" ht="15" customHeight="1" x14ac:dyDescent="0.25"/>
    <row r="2857" ht="15" customHeight="1" x14ac:dyDescent="0.25"/>
    <row r="2858" ht="15" customHeight="1" x14ac:dyDescent="0.25"/>
    <row r="2859" ht="15" customHeight="1" x14ac:dyDescent="0.25"/>
    <row r="2860" ht="15" customHeight="1" x14ac:dyDescent="0.25"/>
    <row r="2861" ht="15" customHeight="1" x14ac:dyDescent="0.25"/>
    <row r="2862" ht="15" customHeight="1" x14ac:dyDescent="0.25"/>
    <row r="2863" ht="15" customHeight="1" x14ac:dyDescent="0.25"/>
    <row r="2864" ht="15" customHeight="1" x14ac:dyDescent="0.25"/>
    <row r="2865" ht="15" customHeight="1" x14ac:dyDescent="0.25"/>
    <row r="2866" ht="15" customHeight="1" x14ac:dyDescent="0.25"/>
    <row r="2867" ht="15" customHeight="1" x14ac:dyDescent="0.25"/>
    <row r="2868" ht="15" customHeight="1" x14ac:dyDescent="0.25"/>
    <row r="2869" ht="15" customHeight="1" x14ac:dyDescent="0.25"/>
    <row r="2870" ht="15" customHeight="1" x14ac:dyDescent="0.25"/>
    <row r="2871" ht="15" customHeight="1" x14ac:dyDescent="0.25"/>
    <row r="2872" ht="15" customHeight="1" x14ac:dyDescent="0.25"/>
    <row r="2873" ht="15" customHeight="1" x14ac:dyDescent="0.25"/>
    <row r="2874" ht="15" customHeight="1" x14ac:dyDescent="0.25"/>
    <row r="2875" ht="15" customHeight="1" x14ac:dyDescent="0.25"/>
    <row r="2876" ht="15" customHeight="1" x14ac:dyDescent="0.25"/>
    <row r="2877" ht="15" customHeight="1" x14ac:dyDescent="0.25"/>
    <row r="2878" ht="15" customHeight="1" x14ac:dyDescent="0.25"/>
    <row r="2879" ht="15" customHeight="1" x14ac:dyDescent="0.25"/>
    <row r="2880" ht="15" customHeight="1" x14ac:dyDescent="0.25"/>
    <row r="2881" ht="15" customHeight="1" x14ac:dyDescent="0.25"/>
    <row r="2882" ht="15" customHeight="1" x14ac:dyDescent="0.25"/>
    <row r="2883" ht="15" customHeight="1" x14ac:dyDescent="0.25"/>
    <row r="2884" ht="15" customHeight="1" x14ac:dyDescent="0.25"/>
    <row r="2885" ht="15" customHeight="1" x14ac:dyDescent="0.25"/>
    <row r="2886" ht="15" customHeight="1" x14ac:dyDescent="0.25"/>
    <row r="2887" ht="15" customHeight="1" x14ac:dyDescent="0.25"/>
    <row r="2888" ht="15" customHeight="1" x14ac:dyDescent="0.25"/>
    <row r="2889" ht="15" customHeight="1" x14ac:dyDescent="0.25"/>
    <row r="2890" ht="15" customHeight="1" x14ac:dyDescent="0.25"/>
    <row r="2891" ht="15" customHeight="1" x14ac:dyDescent="0.25"/>
    <row r="2892" ht="15" customHeight="1" x14ac:dyDescent="0.25"/>
    <row r="2893" ht="15" customHeight="1" x14ac:dyDescent="0.25"/>
    <row r="2894" ht="15" customHeight="1" x14ac:dyDescent="0.25"/>
    <row r="2895" ht="15" customHeight="1" x14ac:dyDescent="0.25"/>
    <row r="2896" ht="15" customHeight="1" x14ac:dyDescent="0.25"/>
    <row r="2897" ht="15" customHeight="1" x14ac:dyDescent="0.25"/>
    <row r="2898" ht="15" customHeight="1" x14ac:dyDescent="0.25"/>
    <row r="2899" ht="15" customHeight="1" x14ac:dyDescent="0.25"/>
    <row r="2900" ht="15" customHeight="1" x14ac:dyDescent="0.25"/>
    <row r="2901" ht="15" customHeight="1" x14ac:dyDescent="0.25"/>
    <row r="2902" ht="15" customHeight="1" x14ac:dyDescent="0.25"/>
    <row r="2903" ht="15" customHeight="1" x14ac:dyDescent="0.25"/>
    <row r="2904" ht="15" customHeight="1" x14ac:dyDescent="0.25"/>
    <row r="2905" ht="15" customHeight="1" x14ac:dyDescent="0.25"/>
    <row r="2906" ht="15" customHeight="1" x14ac:dyDescent="0.25"/>
    <row r="2907" ht="15" customHeight="1" x14ac:dyDescent="0.25"/>
    <row r="2908" ht="15" customHeight="1" x14ac:dyDescent="0.25"/>
    <row r="2909" ht="15" customHeight="1" x14ac:dyDescent="0.25"/>
    <row r="2910" ht="15" customHeight="1" x14ac:dyDescent="0.25"/>
    <row r="2911" ht="15" customHeight="1" x14ac:dyDescent="0.25"/>
    <row r="2912" ht="15" customHeight="1" x14ac:dyDescent="0.25"/>
    <row r="2913" ht="15" customHeight="1" x14ac:dyDescent="0.25"/>
    <row r="2914" ht="15" customHeight="1" x14ac:dyDescent="0.25"/>
    <row r="2915" ht="15" customHeight="1" x14ac:dyDescent="0.25"/>
    <row r="2916" ht="15" customHeight="1" x14ac:dyDescent="0.25"/>
    <row r="2917" ht="15" customHeight="1" x14ac:dyDescent="0.25"/>
    <row r="2918" ht="15" customHeight="1" x14ac:dyDescent="0.25"/>
    <row r="2919" ht="15" customHeight="1" x14ac:dyDescent="0.25"/>
    <row r="2920" ht="15" customHeight="1" x14ac:dyDescent="0.25"/>
    <row r="2921" ht="15" customHeight="1" x14ac:dyDescent="0.25"/>
    <row r="2922" ht="15" customHeight="1" x14ac:dyDescent="0.25"/>
    <row r="2923" ht="15" customHeight="1" x14ac:dyDescent="0.25"/>
    <row r="2924" ht="15" customHeight="1" x14ac:dyDescent="0.25"/>
    <row r="2925" ht="15" customHeight="1" x14ac:dyDescent="0.25"/>
    <row r="2926" ht="15" customHeight="1" x14ac:dyDescent="0.25"/>
    <row r="2927" ht="15" customHeight="1" x14ac:dyDescent="0.25"/>
    <row r="2928" ht="15" customHeight="1" x14ac:dyDescent="0.25"/>
    <row r="2929" ht="15" customHeight="1" x14ac:dyDescent="0.25"/>
    <row r="2930" ht="15" customHeight="1" x14ac:dyDescent="0.25"/>
    <row r="2931" ht="15" customHeight="1" x14ac:dyDescent="0.25"/>
    <row r="2932" ht="15" customHeight="1" x14ac:dyDescent="0.25"/>
    <row r="2933" ht="15" customHeight="1" x14ac:dyDescent="0.25"/>
    <row r="2934" ht="15" customHeight="1" x14ac:dyDescent="0.25"/>
    <row r="2935" ht="15" customHeight="1" x14ac:dyDescent="0.25"/>
    <row r="2936" ht="15" customHeight="1" x14ac:dyDescent="0.25"/>
    <row r="2937" ht="15" customHeight="1" x14ac:dyDescent="0.25"/>
    <row r="2938" ht="15" customHeight="1" x14ac:dyDescent="0.25"/>
    <row r="2939" ht="15" customHeight="1" x14ac:dyDescent="0.25"/>
    <row r="2940" ht="15" customHeight="1" x14ac:dyDescent="0.25"/>
    <row r="2941" ht="15" customHeight="1" x14ac:dyDescent="0.25"/>
    <row r="2942" ht="15" customHeight="1" x14ac:dyDescent="0.25"/>
    <row r="2943" ht="15" customHeight="1" x14ac:dyDescent="0.25"/>
    <row r="2944" ht="15" customHeight="1" x14ac:dyDescent="0.25"/>
    <row r="2945" ht="15" customHeight="1" x14ac:dyDescent="0.25"/>
    <row r="2946" ht="15" customHeight="1" x14ac:dyDescent="0.25"/>
    <row r="2947" ht="15" customHeight="1" x14ac:dyDescent="0.25"/>
    <row r="2948" ht="15" customHeight="1" x14ac:dyDescent="0.25"/>
    <row r="2949" ht="15" customHeight="1" x14ac:dyDescent="0.25"/>
    <row r="2950" ht="15" customHeight="1" x14ac:dyDescent="0.25"/>
    <row r="2951" ht="15" customHeight="1" x14ac:dyDescent="0.25"/>
    <row r="2952" ht="15" customHeight="1" x14ac:dyDescent="0.25"/>
    <row r="2953" ht="15" customHeight="1" x14ac:dyDescent="0.25"/>
    <row r="2954" ht="15" customHeight="1" x14ac:dyDescent="0.25"/>
    <row r="2955" ht="15" customHeight="1" x14ac:dyDescent="0.25"/>
    <row r="2956" ht="15" customHeight="1" x14ac:dyDescent="0.25"/>
    <row r="2957" ht="15" customHeight="1" x14ac:dyDescent="0.25"/>
    <row r="2958" ht="15" customHeight="1" x14ac:dyDescent="0.25"/>
    <row r="2959" ht="15" customHeight="1" x14ac:dyDescent="0.25"/>
    <row r="2960" ht="15" customHeight="1" x14ac:dyDescent="0.25"/>
    <row r="2961" ht="15" customHeight="1" x14ac:dyDescent="0.25"/>
    <row r="2962" ht="15" customHeight="1" x14ac:dyDescent="0.25"/>
    <row r="2963" ht="15" customHeight="1" x14ac:dyDescent="0.25"/>
    <row r="2964" ht="15" customHeight="1" x14ac:dyDescent="0.25"/>
    <row r="2965" ht="15" customHeight="1" x14ac:dyDescent="0.25"/>
    <row r="2966" ht="15" customHeight="1" x14ac:dyDescent="0.25"/>
    <row r="2967" ht="15" customHeight="1" x14ac:dyDescent="0.25"/>
    <row r="2968" ht="15" customHeight="1" x14ac:dyDescent="0.25"/>
    <row r="2969" ht="15" customHeight="1" x14ac:dyDescent="0.25"/>
    <row r="2970" ht="15" customHeight="1" x14ac:dyDescent="0.25"/>
    <row r="2971" ht="15" customHeight="1" x14ac:dyDescent="0.25"/>
    <row r="2972" ht="15" customHeight="1" x14ac:dyDescent="0.25"/>
    <row r="2973" ht="15" customHeight="1" x14ac:dyDescent="0.25"/>
    <row r="2974" ht="15" customHeight="1" x14ac:dyDescent="0.25"/>
    <row r="2975" ht="15" customHeight="1" x14ac:dyDescent="0.25"/>
    <row r="2976" ht="15" customHeight="1" x14ac:dyDescent="0.25"/>
    <row r="2977" ht="15" customHeight="1" x14ac:dyDescent="0.25"/>
    <row r="2978" ht="15" customHeight="1" x14ac:dyDescent="0.25"/>
    <row r="2979" ht="15" customHeight="1" x14ac:dyDescent="0.25"/>
    <row r="2980" ht="15" customHeight="1" x14ac:dyDescent="0.25"/>
    <row r="2981" ht="15" customHeight="1" x14ac:dyDescent="0.25"/>
    <row r="2982" ht="15" customHeight="1" x14ac:dyDescent="0.25"/>
    <row r="2983" ht="15" customHeight="1" x14ac:dyDescent="0.25"/>
    <row r="2984" ht="15" customHeight="1" x14ac:dyDescent="0.25"/>
    <row r="2985" ht="15" customHeight="1" x14ac:dyDescent="0.25"/>
    <row r="2986" ht="15" customHeight="1" x14ac:dyDescent="0.25"/>
    <row r="2987" ht="15" customHeight="1" x14ac:dyDescent="0.25"/>
    <row r="2988" ht="15" customHeight="1" x14ac:dyDescent="0.25"/>
    <row r="2989" ht="15" customHeight="1" x14ac:dyDescent="0.25"/>
    <row r="2990" ht="15" customHeight="1" x14ac:dyDescent="0.25"/>
    <row r="2991" ht="15" customHeight="1" x14ac:dyDescent="0.25"/>
    <row r="2992" ht="15" customHeight="1" x14ac:dyDescent="0.25"/>
    <row r="2993" ht="15" customHeight="1" x14ac:dyDescent="0.25"/>
    <row r="2994" ht="15" customHeight="1" x14ac:dyDescent="0.25"/>
    <row r="2995" ht="15" customHeight="1" x14ac:dyDescent="0.25"/>
    <row r="2996" ht="15" customHeight="1" x14ac:dyDescent="0.25"/>
    <row r="2997" ht="15" customHeight="1" x14ac:dyDescent="0.25"/>
    <row r="2998" ht="15" customHeight="1" x14ac:dyDescent="0.25"/>
    <row r="2999" ht="15" customHeight="1" x14ac:dyDescent="0.25"/>
    <row r="3000" ht="15" customHeight="1" x14ac:dyDescent="0.25"/>
    <row r="3001" ht="15" customHeight="1" x14ac:dyDescent="0.25"/>
    <row r="3002" ht="15" customHeight="1" x14ac:dyDescent="0.25"/>
    <row r="3003" ht="15" customHeight="1" x14ac:dyDescent="0.25"/>
    <row r="3004" ht="15" customHeight="1" x14ac:dyDescent="0.25"/>
    <row r="3005" ht="15" customHeight="1" x14ac:dyDescent="0.25"/>
    <row r="3006" ht="15" customHeight="1" x14ac:dyDescent="0.25"/>
    <row r="3007" ht="15" customHeight="1" x14ac:dyDescent="0.25"/>
    <row r="3008" ht="15" customHeight="1" x14ac:dyDescent="0.25"/>
    <row r="3009" ht="15" customHeight="1" x14ac:dyDescent="0.25"/>
    <row r="3010" ht="15" customHeight="1" x14ac:dyDescent="0.25"/>
    <row r="3011" ht="15" customHeight="1" x14ac:dyDescent="0.25"/>
    <row r="3012" ht="15" customHeight="1" x14ac:dyDescent="0.25"/>
    <row r="3013" ht="15" customHeight="1" x14ac:dyDescent="0.25"/>
    <row r="3014" ht="15" customHeight="1" x14ac:dyDescent="0.25"/>
    <row r="3015" ht="15" customHeight="1" x14ac:dyDescent="0.25"/>
    <row r="3016" ht="15" customHeight="1" x14ac:dyDescent="0.25"/>
    <row r="3017" ht="15" customHeight="1" x14ac:dyDescent="0.25"/>
    <row r="3018" ht="15" customHeight="1" x14ac:dyDescent="0.25"/>
    <row r="3019" ht="15" customHeight="1" x14ac:dyDescent="0.25"/>
    <row r="3020" ht="15" customHeight="1" x14ac:dyDescent="0.25"/>
    <row r="3021" ht="15" customHeight="1" x14ac:dyDescent="0.25"/>
    <row r="3022" ht="15" customHeight="1" x14ac:dyDescent="0.25"/>
    <row r="3023" ht="15" customHeight="1" x14ac:dyDescent="0.25"/>
    <row r="3024" ht="15" customHeight="1" x14ac:dyDescent="0.25"/>
    <row r="3025" ht="15" customHeight="1" x14ac:dyDescent="0.25"/>
    <row r="3026" ht="15" customHeight="1" x14ac:dyDescent="0.25"/>
    <row r="3027" ht="15" customHeight="1" x14ac:dyDescent="0.25"/>
    <row r="3028" ht="15" customHeight="1" x14ac:dyDescent="0.25"/>
    <row r="3029" ht="15" customHeight="1" x14ac:dyDescent="0.25"/>
    <row r="3030" ht="15" customHeight="1" x14ac:dyDescent="0.25"/>
    <row r="3031" ht="15" customHeight="1" x14ac:dyDescent="0.25"/>
    <row r="3032" ht="15" customHeight="1" x14ac:dyDescent="0.25"/>
    <row r="3033" ht="15" customHeight="1" x14ac:dyDescent="0.25"/>
    <row r="3034" ht="15" customHeight="1" x14ac:dyDescent="0.25"/>
    <row r="3035" ht="15" customHeight="1" x14ac:dyDescent="0.25"/>
    <row r="3036" ht="15" customHeight="1" x14ac:dyDescent="0.25"/>
    <row r="3037" ht="15" customHeight="1" x14ac:dyDescent="0.25"/>
    <row r="3038" ht="15" customHeight="1" x14ac:dyDescent="0.25"/>
    <row r="3039" ht="15" customHeight="1" x14ac:dyDescent="0.25"/>
    <row r="3040" ht="15" customHeight="1" x14ac:dyDescent="0.25"/>
    <row r="3041" ht="15" customHeight="1" x14ac:dyDescent="0.25"/>
    <row r="3042" ht="15" customHeight="1" x14ac:dyDescent="0.25"/>
    <row r="3043" ht="15" customHeight="1" x14ac:dyDescent="0.25"/>
    <row r="3044" ht="15" customHeight="1" x14ac:dyDescent="0.25"/>
    <row r="3045" ht="15" customHeight="1" x14ac:dyDescent="0.25"/>
    <row r="3046" ht="15" customHeight="1" x14ac:dyDescent="0.25"/>
    <row r="3047" ht="15" customHeight="1" x14ac:dyDescent="0.25"/>
    <row r="3048" ht="15" customHeight="1" x14ac:dyDescent="0.25"/>
    <row r="3049" ht="15" customHeight="1" x14ac:dyDescent="0.25"/>
    <row r="3050" ht="15" customHeight="1" x14ac:dyDescent="0.25"/>
    <row r="3051" ht="15" customHeight="1" x14ac:dyDescent="0.25"/>
    <row r="3052" ht="15" customHeight="1" x14ac:dyDescent="0.25"/>
    <row r="3053" ht="15" customHeight="1" x14ac:dyDescent="0.25"/>
    <row r="3054" ht="15" customHeight="1" x14ac:dyDescent="0.25"/>
    <row r="3055" ht="15" customHeight="1" x14ac:dyDescent="0.25"/>
    <row r="3056" ht="15" customHeight="1" x14ac:dyDescent="0.25"/>
    <row r="3057" ht="15" customHeight="1" x14ac:dyDescent="0.25"/>
    <row r="3058" ht="15" customHeight="1" x14ac:dyDescent="0.25"/>
    <row r="3059" ht="15" customHeight="1" x14ac:dyDescent="0.25"/>
    <row r="3060" ht="15" customHeight="1" x14ac:dyDescent="0.25"/>
    <row r="3061" ht="15" customHeight="1" x14ac:dyDescent="0.25"/>
    <row r="3062" ht="15" customHeight="1" x14ac:dyDescent="0.25"/>
    <row r="3063" ht="15" customHeight="1" x14ac:dyDescent="0.25"/>
    <row r="3064" ht="15" customHeight="1" x14ac:dyDescent="0.25"/>
    <row r="3065" ht="15" customHeight="1" x14ac:dyDescent="0.25"/>
    <row r="3066" ht="15" customHeight="1" x14ac:dyDescent="0.25"/>
    <row r="3067" ht="15" customHeight="1" x14ac:dyDescent="0.25"/>
    <row r="3068" ht="15" customHeight="1" x14ac:dyDescent="0.25"/>
    <row r="3069" ht="15" customHeight="1" x14ac:dyDescent="0.25"/>
    <row r="3070" ht="15" customHeight="1" x14ac:dyDescent="0.25"/>
    <row r="3071" ht="15" customHeight="1" x14ac:dyDescent="0.25"/>
    <row r="3072" ht="15" customHeight="1" x14ac:dyDescent="0.25"/>
    <row r="3073" ht="15" customHeight="1" x14ac:dyDescent="0.25"/>
    <row r="3074" ht="15" customHeight="1" x14ac:dyDescent="0.25"/>
    <row r="3075" ht="15" customHeight="1" x14ac:dyDescent="0.25"/>
    <row r="3076" ht="15" customHeight="1" x14ac:dyDescent="0.25"/>
    <row r="3077" ht="15" customHeight="1" x14ac:dyDescent="0.25"/>
    <row r="3078" ht="15" customHeight="1" x14ac:dyDescent="0.25"/>
    <row r="3079" ht="15" customHeight="1" x14ac:dyDescent="0.25"/>
    <row r="3080" ht="15" customHeight="1" x14ac:dyDescent="0.25"/>
    <row r="3081" ht="15" customHeight="1" x14ac:dyDescent="0.25"/>
    <row r="3082" ht="15" customHeight="1" x14ac:dyDescent="0.25"/>
    <row r="3083" ht="15" customHeight="1" x14ac:dyDescent="0.25"/>
    <row r="3084" ht="15" customHeight="1" x14ac:dyDescent="0.25"/>
    <row r="3085" ht="15" customHeight="1" x14ac:dyDescent="0.25"/>
    <row r="3086" ht="15" customHeight="1" x14ac:dyDescent="0.25"/>
    <row r="3087" ht="15" customHeight="1" x14ac:dyDescent="0.25"/>
    <row r="3088" ht="15" customHeight="1" x14ac:dyDescent="0.25"/>
    <row r="3089" ht="15" customHeight="1" x14ac:dyDescent="0.25"/>
    <row r="3090" ht="15" customHeight="1" x14ac:dyDescent="0.25"/>
    <row r="3091" ht="15" customHeight="1" x14ac:dyDescent="0.25"/>
    <row r="3092" ht="15" customHeight="1" x14ac:dyDescent="0.25"/>
    <row r="3093" ht="15" customHeight="1" x14ac:dyDescent="0.25"/>
    <row r="3094" ht="15" customHeight="1" x14ac:dyDescent="0.25"/>
    <row r="3095" ht="15" customHeight="1" x14ac:dyDescent="0.25"/>
    <row r="3096" ht="15" customHeight="1" x14ac:dyDescent="0.25"/>
    <row r="3097" ht="15" customHeight="1" x14ac:dyDescent="0.25"/>
    <row r="3098" ht="15" customHeight="1" x14ac:dyDescent="0.25"/>
    <row r="3099" ht="15" customHeight="1" x14ac:dyDescent="0.25"/>
    <row r="3100" ht="15" customHeight="1" x14ac:dyDescent="0.25"/>
    <row r="3101" ht="15" customHeight="1" x14ac:dyDescent="0.25"/>
    <row r="3102" ht="15" customHeight="1" x14ac:dyDescent="0.25"/>
    <row r="3103" ht="15" customHeight="1" x14ac:dyDescent="0.25"/>
    <row r="3104" ht="15" customHeight="1" x14ac:dyDescent="0.25"/>
    <row r="3105" ht="15" customHeight="1" x14ac:dyDescent="0.25"/>
    <row r="3106" ht="15" customHeight="1" x14ac:dyDescent="0.25"/>
    <row r="3107" ht="15" customHeight="1" x14ac:dyDescent="0.25"/>
    <row r="3108" ht="15" customHeight="1" x14ac:dyDescent="0.25"/>
    <row r="3109" ht="15" customHeight="1" x14ac:dyDescent="0.25"/>
    <row r="3110" ht="15" customHeight="1" x14ac:dyDescent="0.25"/>
    <row r="3111" ht="15" customHeight="1" x14ac:dyDescent="0.25"/>
    <row r="3112" ht="15" customHeight="1" x14ac:dyDescent="0.25"/>
    <row r="3113" ht="15" customHeight="1" x14ac:dyDescent="0.25"/>
    <row r="3114" ht="15" customHeight="1" x14ac:dyDescent="0.25"/>
    <row r="3115" ht="15" customHeight="1" x14ac:dyDescent="0.25"/>
    <row r="3116" ht="15" customHeight="1" x14ac:dyDescent="0.25"/>
    <row r="3117" ht="15" customHeight="1" x14ac:dyDescent="0.25"/>
    <row r="3118" ht="15" customHeight="1" x14ac:dyDescent="0.25"/>
    <row r="3119" ht="15" customHeight="1" x14ac:dyDescent="0.25"/>
    <row r="3120" ht="15" customHeight="1" x14ac:dyDescent="0.25"/>
    <row r="3121" ht="15" customHeight="1" x14ac:dyDescent="0.25"/>
    <row r="3122" ht="15" customHeight="1" x14ac:dyDescent="0.25"/>
    <row r="3123" ht="15" customHeight="1" x14ac:dyDescent="0.25"/>
    <row r="3124" ht="15" customHeight="1" x14ac:dyDescent="0.25"/>
    <row r="3125" ht="15" customHeight="1" x14ac:dyDescent="0.25"/>
    <row r="3126" ht="15" customHeight="1" x14ac:dyDescent="0.25"/>
    <row r="3127" ht="15" customHeight="1" x14ac:dyDescent="0.25"/>
    <row r="3128" ht="15" customHeight="1" x14ac:dyDescent="0.25"/>
    <row r="3129" ht="15" customHeight="1" x14ac:dyDescent="0.25"/>
    <row r="3130" ht="15" customHeight="1" x14ac:dyDescent="0.25"/>
    <row r="3131" ht="15" customHeight="1" x14ac:dyDescent="0.25"/>
    <row r="3132" ht="15" customHeight="1" x14ac:dyDescent="0.25"/>
    <row r="3133" ht="15" customHeight="1" x14ac:dyDescent="0.25"/>
    <row r="3134" ht="15" customHeight="1" x14ac:dyDescent="0.25"/>
    <row r="3135" ht="15" customHeight="1" x14ac:dyDescent="0.25"/>
    <row r="3136" ht="15" customHeight="1" x14ac:dyDescent="0.25"/>
    <row r="3137" ht="15" customHeight="1" x14ac:dyDescent="0.25"/>
    <row r="3138" ht="15" customHeight="1" x14ac:dyDescent="0.25"/>
    <row r="3139" ht="15" customHeight="1" x14ac:dyDescent="0.25"/>
    <row r="3140" ht="15" customHeight="1" x14ac:dyDescent="0.25"/>
    <row r="3141" ht="15" customHeight="1" x14ac:dyDescent="0.25"/>
    <row r="3142" ht="15" customHeight="1" x14ac:dyDescent="0.25"/>
    <row r="3143" ht="15" customHeight="1" x14ac:dyDescent="0.25"/>
    <row r="3144" ht="15" customHeight="1" x14ac:dyDescent="0.25"/>
    <row r="3145" ht="15" customHeight="1" x14ac:dyDescent="0.25"/>
    <row r="3146" ht="15" customHeight="1" x14ac:dyDescent="0.25"/>
    <row r="3147" ht="15" customHeight="1" x14ac:dyDescent="0.25"/>
    <row r="3148" ht="15" customHeight="1" x14ac:dyDescent="0.25"/>
    <row r="3149" ht="15" customHeight="1" x14ac:dyDescent="0.25"/>
    <row r="3150" ht="15" customHeight="1" x14ac:dyDescent="0.25"/>
    <row r="3151" ht="15" customHeight="1" x14ac:dyDescent="0.25"/>
    <row r="3152" ht="15" customHeight="1" x14ac:dyDescent="0.25"/>
    <row r="3153" ht="15" customHeight="1" x14ac:dyDescent="0.25"/>
    <row r="3154" ht="15" customHeight="1" x14ac:dyDescent="0.25"/>
    <row r="3155" ht="15" customHeight="1" x14ac:dyDescent="0.25"/>
    <row r="3156" ht="15" customHeight="1" x14ac:dyDescent="0.25"/>
    <row r="3157" ht="15" customHeight="1" x14ac:dyDescent="0.25"/>
    <row r="3158" ht="15" customHeight="1" x14ac:dyDescent="0.25"/>
    <row r="3159" ht="15" customHeight="1" x14ac:dyDescent="0.25"/>
    <row r="3160" ht="15" customHeight="1" x14ac:dyDescent="0.25"/>
    <row r="3161" ht="15" customHeight="1" x14ac:dyDescent="0.25"/>
    <row r="3162" ht="15" customHeight="1" x14ac:dyDescent="0.25"/>
    <row r="3163" ht="15" customHeight="1" x14ac:dyDescent="0.25"/>
    <row r="3164" ht="15" customHeight="1" x14ac:dyDescent="0.25"/>
    <row r="3165" ht="15" customHeight="1" x14ac:dyDescent="0.25"/>
    <row r="3166" ht="15" customHeight="1" x14ac:dyDescent="0.25"/>
    <row r="3167" ht="15" customHeight="1" x14ac:dyDescent="0.25"/>
    <row r="3168" ht="15" customHeight="1" x14ac:dyDescent="0.25"/>
    <row r="3169" ht="15" customHeight="1" x14ac:dyDescent="0.25"/>
    <row r="3170" ht="15" customHeight="1" x14ac:dyDescent="0.25"/>
    <row r="3171" ht="15" customHeight="1" x14ac:dyDescent="0.25"/>
    <row r="3172" ht="15" customHeight="1" x14ac:dyDescent="0.25"/>
    <row r="3173" ht="15" customHeight="1" x14ac:dyDescent="0.25"/>
    <row r="3174" ht="15" customHeight="1" x14ac:dyDescent="0.25"/>
    <row r="3175" ht="15" customHeight="1" x14ac:dyDescent="0.25"/>
    <row r="3176" ht="15" customHeight="1" x14ac:dyDescent="0.25"/>
    <row r="3177" ht="15" customHeight="1" x14ac:dyDescent="0.25"/>
    <row r="3178" ht="15" customHeight="1" x14ac:dyDescent="0.25"/>
    <row r="3179" ht="15" customHeight="1" x14ac:dyDescent="0.25"/>
    <row r="3180" ht="15" customHeight="1" x14ac:dyDescent="0.25"/>
    <row r="3181" ht="15" customHeight="1" x14ac:dyDescent="0.25"/>
    <row r="3182" ht="15" customHeight="1" x14ac:dyDescent="0.25"/>
    <row r="3183" ht="15" customHeight="1" x14ac:dyDescent="0.25"/>
    <row r="3184" ht="15" customHeight="1" x14ac:dyDescent="0.25"/>
    <row r="3185" ht="15" customHeight="1" x14ac:dyDescent="0.25"/>
    <row r="3186" ht="15" customHeight="1" x14ac:dyDescent="0.25"/>
    <row r="3187" ht="15" customHeight="1" x14ac:dyDescent="0.25"/>
    <row r="3188" ht="15" customHeight="1" x14ac:dyDescent="0.25"/>
    <row r="3189" ht="15" customHeight="1" x14ac:dyDescent="0.25"/>
    <row r="3190" ht="15" customHeight="1" x14ac:dyDescent="0.25"/>
    <row r="3191" ht="15" customHeight="1" x14ac:dyDescent="0.25"/>
    <row r="3192" ht="15" customHeight="1" x14ac:dyDescent="0.25"/>
    <row r="3193" ht="15" customHeight="1" x14ac:dyDescent="0.25"/>
    <row r="3194" ht="15" customHeight="1" x14ac:dyDescent="0.25"/>
    <row r="3195" ht="15" customHeight="1" x14ac:dyDescent="0.25"/>
    <row r="3196" ht="15" customHeight="1" x14ac:dyDescent="0.25"/>
    <row r="3197" ht="15" customHeight="1" x14ac:dyDescent="0.25"/>
    <row r="3198" ht="15" customHeight="1" x14ac:dyDescent="0.25"/>
    <row r="3199" ht="15" customHeight="1" x14ac:dyDescent="0.25"/>
    <row r="3200" ht="15" customHeight="1" x14ac:dyDescent="0.25"/>
    <row r="3201" ht="15" customHeight="1" x14ac:dyDescent="0.25"/>
    <row r="3202" ht="15" customHeight="1" x14ac:dyDescent="0.25"/>
    <row r="3203" ht="15" customHeight="1" x14ac:dyDescent="0.25"/>
    <row r="3204" ht="15" customHeight="1" x14ac:dyDescent="0.25"/>
    <row r="3205" ht="15" customHeight="1" x14ac:dyDescent="0.25"/>
    <row r="3206" ht="15" customHeight="1" x14ac:dyDescent="0.25"/>
    <row r="3207" ht="15" customHeight="1" x14ac:dyDescent="0.25"/>
    <row r="3208" ht="15" customHeight="1" x14ac:dyDescent="0.25"/>
    <row r="3209" ht="15" customHeight="1" x14ac:dyDescent="0.25"/>
    <row r="3210" ht="15" customHeight="1" x14ac:dyDescent="0.25"/>
    <row r="3211" ht="15" customHeight="1" x14ac:dyDescent="0.25"/>
    <row r="3212" ht="15" customHeight="1" x14ac:dyDescent="0.25"/>
    <row r="3213" ht="15" customHeight="1" x14ac:dyDescent="0.25"/>
    <row r="3214" ht="15" customHeight="1" x14ac:dyDescent="0.25"/>
    <row r="3215" ht="15" customHeight="1" x14ac:dyDescent="0.25"/>
    <row r="3216" ht="15" customHeight="1" x14ac:dyDescent="0.25"/>
    <row r="3217" ht="15" customHeight="1" x14ac:dyDescent="0.25"/>
    <row r="3218" ht="15" customHeight="1" x14ac:dyDescent="0.25"/>
    <row r="3219" ht="15" customHeight="1" x14ac:dyDescent="0.25"/>
    <row r="3220" ht="15" customHeight="1" x14ac:dyDescent="0.25"/>
    <row r="3221" ht="15" customHeight="1" x14ac:dyDescent="0.25"/>
    <row r="3222" ht="15" customHeight="1" x14ac:dyDescent="0.25"/>
    <row r="3223" ht="15" customHeight="1" x14ac:dyDescent="0.25"/>
    <row r="3224" ht="15" customHeight="1" x14ac:dyDescent="0.25"/>
    <row r="3225" ht="15" customHeight="1" x14ac:dyDescent="0.25"/>
    <row r="3226" ht="15" customHeight="1" x14ac:dyDescent="0.25"/>
    <row r="3227" ht="15" customHeight="1" x14ac:dyDescent="0.25"/>
    <row r="3228" ht="15" customHeight="1" x14ac:dyDescent="0.25"/>
    <row r="3229" ht="15" customHeight="1" x14ac:dyDescent="0.25"/>
    <row r="3230" ht="15" customHeight="1" x14ac:dyDescent="0.25"/>
    <row r="3231" ht="15" customHeight="1" x14ac:dyDescent="0.25"/>
    <row r="3232" ht="15" customHeight="1" x14ac:dyDescent="0.25"/>
    <row r="3233" ht="15" customHeight="1" x14ac:dyDescent="0.25"/>
    <row r="3234" ht="15" customHeight="1" x14ac:dyDescent="0.25"/>
    <row r="3235" ht="15" customHeight="1" x14ac:dyDescent="0.25"/>
    <row r="3236" ht="15" customHeight="1" x14ac:dyDescent="0.25"/>
    <row r="3237" ht="15" customHeight="1" x14ac:dyDescent="0.25"/>
    <row r="3238" ht="15" customHeight="1" x14ac:dyDescent="0.25"/>
    <row r="3239" ht="15" customHeight="1" x14ac:dyDescent="0.25"/>
    <row r="3240" ht="15" customHeight="1" x14ac:dyDescent="0.25"/>
    <row r="3241" ht="15" customHeight="1" x14ac:dyDescent="0.25"/>
    <row r="3242" ht="15" customHeight="1" x14ac:dyDescent="0.25"/>
    <row r="3243" ht="15" customHeight="1" x14ac:dyDescent="0.25"/>
    <row r="3244" ht="15" customHeight="1" x14ac:dyDescent="0.25"/>
    <row r="3245" ht="15" customHeight="1" x14ac:dyDescent="0.25"/>
    <row r="3246" ht="15" customHeight="1" x14ac:dyDescent="0.25"/>
    <row r="3247" ht="15" customHeight="1" x14ac:dyDescent="0.25"/>
    <row r="3248" ht="15" customHeight="1" x14ac:dyDescent="0.25"/>
    <row r="3249" ht="15" customHeight="1" x14ac:dyDescent="0.25"/>
    <row r="3250" ht="15" customHeight="1" x14ac:dyDescent="0.25"/>
    <row r="3251" ht="15" customHeight="1" x14ac:dyDescent="0.25"/>
    <row r="3252" ht="15" customHeight="1" x14ac:dyDescent="0.25"/>
    <row r="3253" ht="15" customHeight="1" x14ac:dyDescent="0.25"/>
    <row r="3254" ht="15" customHeight="1" x14ac:dyDescent="0.25"/>
    <row r="3255" ht="15" customHeight="1" x14ac:dyDescent="0.25"/>
    <row r="3256" ht="15" customHeight="1" x14ac:dyDescent="0.25"/>
    <row r="3257" ht="15" customHeight="1" x14ac:dyDescent="0.25"/>
    <row r="3258" ht="15" customHeight="1" x14ac:dyDescent="0.25"/>
    <row r="3259" ht="15" customHeight="1" x14ac:dyDescent="0.25"/>
    <row r="3260" ht="15" customHeight="1" x14ac:dyDescent="0.25"/>
    <row r="3261" ht="15" customHeight="1" x14ac:dyDescent="0.25"/>
    <row r="3262" ht="15" customHeight="1" x14ac:dyDescent="0.25"/>
    <row r="3263" ht="15" customHeight="1" x14ac:dyDescent="0.25"/>
    <row r="3264" ht="15" customHeight="1" x14ac:dyDescent="0.25"/>
    <row r="3265" ht="15" customHeight="1" x14ac:dyDescent="0.25"/>
    <row r="3266" ht="15" customHeight="1" x14ac:dyDescent="0.25"/>
    <row r="3267" ht="15" customHeight="1" x14ac:dyDescent="0.25"/>
    <row r="3268" ht="15" customHeight="1" x14ac:dyDescent="0.25"/>
    <row r="3269" ht="15" customHeight="1" x14ac:dyDescent="0.25"/>
    <row r="3270" ht="15" customHeight="1" x14ac:dyDescent="0.25"/>
    <row r="3271" ht="15" customHeight="1" x14ac:dyDescent="0.25"/>
    <row r="3272" ht="15" customHeight="1" x14ac:dyDescent="0.25"/>
    <row r="3273" ht="15" customHeight="1" x14ac:dyDescent="0.25"/>
    <row r="3274" ht="15" customHeight="1" x14ac:dyDescent="0.25"/>
    <row r="3275" ht="15" customHeight="1" x14ac:dyDescent="0.25"/>
    <row r="3276" ht="15" customHeight="1" x14ac:dyDescent="0.25"/>
    <row r="3277" ht="15" customHeight="1" x14ac:dyDescent="0.25"/>
    <row r="3278" ht="15" customHeight="1" x14ac:dyDescent="0.25"/>
    <row r="3279" ht="15" customHeight="1" x14ac:dyDescent="0.25"/>
    <row r="3280" ht="15" customHeight="1" x14ac:dyDescent="0.25"/>
    <row r="3281" ht="15" customHeight="1" x14ac:dyDescent="0.25"/>
    <row r="3282" ht="15" customHeight="1" x14ac:dyDescent="0.25"/>
    <row r="3283" ht="15" customHeight="1" x14ac:dyDescent="0.25"/>
    <row r="3284" ht="15" customHeight="1" x14ac:dyDescent="0.25"/>
    <row r="3285" ht="15" customHeight="1" x14ac:dyDescent="0.25"/>
    <row r="3286" ht="15" customHeight="1" x14ac:dyDescent="0.25"/>
    <row r="3287" ht="15" customHeight="1" x14ac:dyDescent="0.25"/>
    <row r="3288" ht="15" customHeight="1" x14ac:dyDescent="0.25"/>
    <row r="3289" ht="15" customHeight="1" x14ac:dyDescent="0.25"/>
    <row r="3290" ht="15" customHeight="1" x14ac:dyDescent="0.25"/>
    <row r="3291" ht="15" customHeight="1" x14ac:dyDescent="0.25"/>
    <row r="3292" ht="15" customHeight="1" x14ac:dyDescent="0.25"/>
    <row r="3293" ht="15" customHeight="1" x14ac:dyDescent="0.25"/>
    <row r="3294" ht="15" customHeight="1" x14ac:dyDescent="0.25"/>
    <row r="3295" ht="15" customHeight="1" x14ac:dyDescent="0.25"/>
    <row r="3296" ht="15" customHeight="1" x14ac:dyDescent="0.25"/>
    <row r="3297" ht="15" customHeight="1" x14ac:dyDescent="0.25"/>
    <row r="3298" ht="15" customHeight="1" x14ac:dyDescent="0.25"/>
    <row r="3299" ht="15" customHeight="1" x14ac:dyDescent="0.25"/>
    <row r="3300" ht="15" customHeight="1" x14ac:dyDescent="0.25"/>
    <row r="3301" ht="15" customHeight="1" x14ac:dyDescent="0.25"/>
    <row r="3302" ht="15" customHeight="1" x14ac:dyDescent="0.25"/>
    <row r="3303" ht="15" customHeight="1" x14ac:dyDescent="0.25"/>
    <row r="3304" ht="15" customHeight="1" x14ac:dyDescent="0.25"/>
    <row r="3305" ht="15" customHeight="1" x14ac:dyDescent="0.25"/>
    <row r="3306" ht="15" customHeight="1" x14ac:dyDescent="0.25"/>
    <row r="3307" ht="15" customHeight="1" x14ac:dyDescent="0.25"/>
    <row r="3308" ht="15" customHeight="1" x14ac:dyDescent="0.25"/>
    <row r="3309" ht="15" customHeight="1" x14ac:dyDescent="0.25"/>
    <row r="3310" ht="15" customHeight="1" x14ac:dyDescent="0.25"/>
    <row r="3311" ht="15" customHeight="1" x14ac:dyDescent="0.25"/>
    <row r="3312" ht="15" customHeight="1" x14ac:dyDescent="0.25"/>
    <row r="3313" ht="15" customHeight="1" x14ac:dyDescent="0.25"/>
    <row r="3314" ht="15" customHeight="1" x14ac:dyDescent="0.25"/>
    <row r="3315" ht="15" customHeight="1" x14ac:dyDescent="0.25"/>
    <row r="3316" ht="15" customHeight="1" x14ac:dyDescent="0.25"/>
    <row r="3317" ht="15" customHeight="1" x14ac:dyDescent="0.25"/>
    <row r="3318" ht="15" customHeight="1" x14ac:dyDescent="0.25"/>
    <row r="3319" ht="15" customHeight="1" x14ac:dyDescent="0.25"/>
    <row r="3320" ht="15" customHeight="1" x14ac:dyDescent="0.25"/>
    <row r="3321" ht="15" customHeight="1" x14ac:dyDescent="0.25"/>
    <row r="3322" ht="15" customHeight="1" x14ac:dyDescent="0.25"/>
    <row r="3323" ht="15" customHeight="1" x14ac:dyDescent="0.25"/>
    <row r="3324" ht="15" customHeight="1" x14ac:dyDescent="0.25"/>
    <row r="3325" ht="15" customHeight="1" x14ac:dyDescent="0.25"/>
    <row r="3326" ht="15" customHeight="1" x14ac:dyDescent="0.25"/>
    <row r="3327" ht="15" customHeight="1" x14ac:dyDescent="0.25"/>
    <row r="3328" ht="15" customHeight="1" x14ac:dyDescent="0.25"/>
    <row r="3329" ht="15" customHeight="1" x14ac:dyDescent="0.25"/>
    <row r="3330" ht="15" customHeight="1" x14ac:dyDescent="0.25"/>
    <row r="3331" ht="15" customHeight="1" x14ac:dyDescent="0.25"/>
    <row r="3332" ht="15" customHeight="1" x14ac:dyDescent="0.25"/>
    <row r="3333" ht="15" customHeight="1" x14ac:dyDescent="0.25"/>
    <row r="3334" ht="15" customHeight="1" x14ac:dyDescent="0.25"/>
    <row r="3335" ht="15" customHeight="1" x14ac:dyDescent="0.25"/>
    <row r="3336" ht="15" customHeight="1" x14ac:dyDescent="0.25"/>
    <row r="3337" ht="15" customHeight="1" x14ac:dyDescent="0.25"/>
    <row r="3338" ht="15" customHeight="1" x14ac:dyDescent="0.25"/>
    <row r="3339" ht="15" customHeight="1" x14ac:dyDescent="0.25"/>
    <row r="3340" ht="15" customHeight="1" x14ac:dyDescent="0.25"/>
    <row r="3341" ht="15" customHeight="1" x14ac:dyDescent="0.25"/>
    <row r="3342" ht="15" customHeight="1" x14ac:dyDescent="0.25"/>
    <row r="3343" ht="15" customHeight="1" x14ac:dyDescent="0.25"/>
    <row r="3344" ht="15" customHeight="1" x14ac:dyDescent="0.25"/>
    <row r="3345" ht="15" customHeight="1" x14ac:dyDescent="0.25"/>
    <row r="3346" ht="15" customHeight="1" x14ac:dyDescent="0.25"/>
    <row r="3347" ht="15" customHeight="1" x14ac:dyDescent="0.25"/>
    <row r="3348" ht="15" customHeight="1" x14ac:dyDescent="0.25"/>
    <row r="3349" ht="15" customHeight="1" x14ac:dyDescent="0.25"/>
    <row r="3350" ht="15" customHeight="1" x14ac:dyDescent="0.25"/>
    <row r="3351" ht="15" customHeight="1" x14ac:dyDescent="0.25"/>
    <row r="3352" ht="15" customHeight="1" x14ac:dyDescent="0.25"/>
    <row r="3353" ht="15" customHeight="1" x14ac:dyDescent="0.25"/>
    <row r="3354" ht="15" customHeight="1" x14ac:dyDescent="0.25"/>
    <row r="3355" ht="15" customHeight="1" x14ac:dyDescent="0.25"/>
    <row r="3356" ht="15" customHeight="1" x14ac:dyDescent="0.25"/>
    <row r="3357" ht="15" customHeight="1" x14ac:dyDescent="0.25"/>
    <row r="3358" ht="15" customHeight="1" x14ac:dyDescent="0.25"/>
    <row r="3359" ht="15" customHeight="1" x14ac:dyDescent="0.25"/>
    <row r="3360" ht="15" customHeight="1" x14ac:dyDescent="0.25"/>
    <row r="3361" ht="15" customHeight="1" x14ac:dyDescent="0.25"/>
    <row r="3362" ht="15" customHeight="1" x14ac:dyDescent="0.25"/>
    <row r="3363" ht="15" customHeight="1" x14ac:dyDescent="0.25"/>
    <row r="3364" ht="15" customHeight="1" x14ac:dyDescent="0.25"/>
    <row r="3365" ht="15" customHeight="1" x14ac:dyDescent="0.25"/>
    <row r="3366" ht="15" customHeight="1" x14ac:dyDescent="0.25"/>
    <row r="3367" ht="15" customHeight="1" x14ac:dyDescent="0.25"/>
    <row r="3368" ht="15" customHeight="1" x14ac:dyDescent="0.25"/>
    <row r="3369" ht="15" customHeight="1" x14ac:dyDescent="0.25"/>
    <row r="3370" ht="15" customHeight="1" x14ac:dyDescent="0.25"/>
    <row r="3371" ht="15" customHeight="1" x14ac:dyDescent="0.25"/>
    <row r="3372" ht="15" customHeight="1" x14ac:dyDescent="0.25"/>
    <row r="3373" ht="15" customHeight="1" x14ac:dyDescent="0.25"/>
    <row r="3374" ht="15" customHeight="1" x14ac:dyDescent="0.25"/>
    <row r="3375" ht="15" customHeight="1" x14ac:dyDescent="0.25"/>
    <row r="3376" ht="15" customHeight="1" x14ac:dyDescent="0.25"/>
    <row r="3377" ht="15" customHeight="1" x14ac:dyDescent="0.25"/>
    <row r="3378" ht="15" customHeight="1" x14ac:dyDescent="0.25"/>
    <row r="3379" ht="15" customHeight="1" x14ac:dyDescent="0.25"/>
    <row r="3380" ht="15" customHeight="1" x14ac:dyDescent="0.25"/>
    <row r="3381" ht="15" customHeight="1" x14ac:dyDescent="0.25"/>
    <row r="3382" ht="15" customHeight="1" x14ac:dyDescent="0.25"/>
    <row r="3383" ht="15" customHeight="1" x14ac:dyDescent="0.25"/>
    <row r="3384" ht="15" customHeight="1" x14ac:dyDescent="0.25"/>
    <row r="3385" ht="15" customHeight="1" x14ac:dyDescent="0.25"/>
    <row r="3386" ht="15" customHeight="1" x14ac:dyDescent="0.25"/>
    <row r="3387" ht="15" customHeight="1" x14ac:dyDescent="0.25"/>
    <row r="3388" ht="15" customHeight="1" x14ac:dyDescent="0.25"/>
    <row r="3389" ht="15" customHeight="1" x14ac:dyDescent="0.25"/>
    <row r="3390" ht="15" customHeight="1" x14ac:dyDescent="0.25"/>
    <row r="3391" ht="15" customHeight="1" x14ac:dyDescent="0.25"/>
    <row r="3392" ht="15" customHeight="1" x14ac:dyDescent="0.25"/>
    <row r="3393" ht="15" customHeight="1" x14ac:dyDescent="0.25"/>
    <row r="3394" ht="15" customHeight="1" x14ac:dyDescent="0.25"/>
    <row r="3395" ht="15" customHeight="1" x14ac:dyDescent="0.25"/>
    <row r="3396" ht="15" customHeight="1" x14ac:dyDescent="0.25"/>
    <row r="3397" ht="15" customHeight="1" x14ac:dyDescent="0.25"/>
    <row r="3398" ht="15" customHeight="1" x14ac:dyDescent="0.25"/>
    <row r="3399" ht="15" customHeight="1" x14ac:dyDescent="0.25"/>
    <row r="3400" ht="15" customHeight="1" x14ac:dyDescent="0.25"/>
    <row r="3401" ht="15" customHeight="1" x14ac:dyDescent="0.25"/>
    <row r="3402" ht="15" customHeight="1" x14ac:dyDescent="0.25"/>
    <row r="3403" ht="15" customHeight="1" x14ac:dyDescent="0.25"/>
    <row r="3404" ht="15" customHeight="1" x14ac:dyDescent="0.25"/>
    <row r="3405" ht="15" customHeight="1" x14ac:dyDescent="0.25"/>
    <row r="3406" ht="15" customHeight="1" x14ac:dyDescent="0.25"/>
    <row r="3407" ht="15" customHeight="1" x14ac:dyDescent="0.25"/>
    <row r="3408" ht="15" customHeight="1" x14ac:dyDescent="0.25"/>
    <row r="3409" ht="15" customHeight="1" x14ac:dyDescent="0.25"/>
    <row r="3410" ht="15" customHeight="1" x14ac:dyDescent="0.25"/>
    <row r="3411" ht="15" customHeight="1" x14ac:dyDescent="0.25"/>
    <row r="3412" ht="15" customHeight="1" x14ac:dyDescent="0.25"/>
    <row r="3413" ht="15" customHeight="1" x14ac:dyDescent="0.25"/>
    <row r="3414" ht="15" customHeight="1" x14ac:dyDescent="0.25"/>
    <row r="3415" ht="15" customHeight="1" x14ac:dyDescent="0.25"/>
    <row r="3416" ht="15" customHeight="1" x14ac:dyDescent="0.25"/>
    <row r="3417" ht="15" customHeight="1" x14ac:dyDescent="0.25"/>
    <row r="3418" ht="15" customHeight="1" x14ac:dyDescent="0.25"/>
    <row r="3419" ht="15" customHeight="1" x14ac:dyDescent="0.25"/>
    <row r="3420" ht="15" customHeight="1" x14ac:dyDescent="0.25"/>
    <row r="3421" ht="15" customHeight="1" x14ac:dyDescent="0.25"/>
    <row r="3422" ht="15" customHeight="1" x14ac:dyDescent="0.25"/>
    <row r="3423" ht="15" customHeight="1" x14ac:dyDescent="0.25"/>
    <row r="3424" ht="15" customHeight="1" x14ac:dyDescent="0.25"/>
    <row r="3425" ht="15" customHeight="1" x14ac:dyDescent="0.25"/>
    <row r="3426" ht="15" customHeight="1" x14ac:dyDescent="0.25"/>
    <row r="3427" ht="15" customHeight="1" x14ac:dyDescent="0.25"/>
    <row r="3428" ht="15" customHeight="1" x14ac:dyDescent="0.25"/>
    <row r="3429" ht="15" customHeight="1" x14ac:dyDescent="0.25"/>
    <row r="3430" ht="15" customHeight="1" x14ac:dyDescent="0.25"/>
    <row r="3431" ht="15" customHeight="1" x14ac:dyDescent="0.25"/>
    <row r="3432" ht="15" customHeight="1" x14ac:dyDescent="0.25"/>
    <row r="3433" ht="15" customHeight="1" x14ac:dyDescent="0.25"/>
    <row r="3434" ht="15" customHeight="1" x14ac:dyDescent="0.25"/>
    <row r="3435" ht="15" customHeight="1" x14ac:dyDescent="0.25"/>
    <row r="3436" ht="15" customHeight="1" x14ac:dyDescent="0.25"/>
    <row r="3437" ht="15" customHeight="1" x14ac:dyDescent="0.25"/>
    <row r="3438" ht="15" customHeight="1" x14ac:dyDescent="0.25"/>
    <row r="3439" ht="15" customHeight="1" x14ac:dyDescent="0.25"/>
    <row r="3440" ht="15" customHeight="1" x14ac:dyDescent="0.25"/>
    <row r="3441" ht="15" customHeight="1" x14ac:dyDescent="0.25"/>
    <row r="3442" ht="15" customHeight="1" x14ac:dyDescent="0.25"/>
    <row r="3443" ht="15" customHeight="1" x14ac:dyDescent="0.25"/>
    <row r="3444" ht="15" customHeight="1" x14ac:dyDescent="0.25"/>
    <row r="3445" ht="15" customHeight="1" x14ac:dyDescent="0.25"/>
    <row r="3446" ht="15" customHeight="1" x14ac:dyDescent="0.25"/>
    <row r="3447" ht="15" customHeight="1" x14ac:dyDescent="0.25"/>
    <row r="3448" ht="15" customHeight="1" x14ac:dyDescent="0.25"/>
    <row r="3449" ht="15" customHeight="1" x14ac:dyDescent="0.25"/>
    <row r="3450" ht="15" customHeight="1" x14ac:dyDescent="0.25"/>
    <row r="3451" ht="15" customHeight="1" x14ac:dyDescent="0.25"/>
    <row r="3452" ht="15" customHeight="1" x14ac:dyDescent="0.25"/>
    <row r="3453" ht="15" customHeight="1" x14ac:dyDescent="0.25"/>
    <row r="3454" ht="15" customHeight="1" x14ac:dyDescent="0.25"/>
    <row r="3455" ht="15" customHeight="1" x14ac:dyDescent="0.25"/>
    <row r="3456" ht="15" customHeight="1" x14ac:dyDescent="0.25"/>
    <row r="3457" ht="15" customHeight="1" x14ac:dyDescent="0.25"/>
    <row r="3458" ht="15" customHeight="1" x14ac:dyDescent="0.25"/>
    <row r="3459" ht="15" customHeight="1" x14ac:dyDescent="0.25"/>
    <row r="3460" ht="15" customHeight="1" x14ac:dyDescent="0.25"/>
    <row r="3461" ht="15" customHeight="1" x14ac:dyDescent="0.25"/>
    <row r="3462" ht="15" customHeight="1" x14ac:dyDescent="0.25"/>
    <row r="3463" ht="15" customHeight="1" x14ac:dyDescent="0.25"/>
    <row r="3464" ht="15" customHeight="1" x14ac:dyDescent="0.25"/>
    <row r="3465" ht="15" customHeight="1" x14ac:dyDescent="0.25"/>
    <row r="3466" ht="15" customHeight="1" x14ac:dyDescent="0.25"/>
    <row r="3467" ht="15" customHeight="1" x14ac:dyDescent="0.25"/>
    <row r="3468" ht="15" customHeight="1" x14ac:dyDescent="0.25"/>
    <row r="3469" ht="15" customHeight="1" x14ac:dyDescent="0.25"/>
    <row r="3470" ht="15" customHeight="1" x14ac:dyDescent="0.25"/>
    <row r="3471" ht="15" customHeight="1" x14ac:dyDescent="0.25"/>
    <row r="3472" ht="15" customHeight="1" x14ac:dyDescent="0.25"/>
    <row r="3473" ht="15" customHeight="1" x14ac:dyDescent="0.25"/>
    <row r="3474" ht="15" customHeight="1" x14ac:dyDescent="0.25"/>
    <row r="3475" ht="15" customHeight="1" x14ac:dyDescent="0.25"/>
    <row r="3476" ht="15" customHeight="1" x14ac:dyDescent="0.25"/>
    <row r="3477" ht="15" customHeight="1" x14ac:dyDescent="0.25"/>
    <row r="3478" ht="15" customHeight="1" x14ac:dyDescent="0.25"/>
    <row r="3479" ht="15" customHeight="1" x14ac:dyDescent="0.25"/>
    <row r="3480" ht="15" customHeight="1" x14ac:dyDescent="0.25"/>
    <row r="3481" ht="15" customHeight="1" x14ac:dyDescent="0.25"/>
    <row r="3482" ht="15" customHeight="1" x14ac:dyDescent="0.25"/>
    <row r="3483" ht="15" customHeight="1" x14ac:dyDescent="0.25"/>
    <row r="3484" ht="15" customHeight="1" x14ac:dyDescent="0.25"/>
    <row r="3485" ht="15" customHeight="1" x14ac:dyDescent="0.25"/>
    <row r="3486" ht="15" customHeight="1" x14ac:dyDescent="0.25"/>
    <row r="3487" ht="15" customHeight="1" x14ac:dyDescent="0.25"/>
    <row r="3488" ht="15" customHeight="1" x14ac:dyDescent="0.25"/>
    <row r="3489" ht="15" customHeight="1" x14ac:dyDescent="0.25"/>
    <row r="3490" ht="15" customHeight="1" x14ac:dyDescent="0.25"/>
    <row r="3491" ht="15" customHeight="1" x14ac:dyDescent="0.25"/>
    <row r="3492" ht="15" customHeight="1" x14ac:dyDescent="0.25"/>
    <row r="3493" ht="15" customHeight="1" x14ac:dyDescent="0.25"/>
    <row r="3494" ht="15" customHeight="1" x14ac:dyDescent="0.25"/>
    <row r="3495" ht="15" customHeight="1" x14ac:dyDescent="0.25"/>
    <row r="3496" ht="15" customHeight="1" x14ac:dyDescent="0.25"/>
    <row r="3497" ht="15" customHeight="1" x14ac:dyDescent="0.25"/>
    <row r="3498" ht="15" customHeight="1" x14ac:dyDescent="0.25"/>
    <row r="3499" ht="15" customHeight="1" x14ac:dyDescent="0.25"/>
    <row r="3500" ht="15" customHeight="1" x14ac:dyDescent="0.25"/>
    <row r="3501" ht="15" customHeight="1" x14ac:dyDescent="0.25"/>
    <row r="3502" ht="15" customHeight="1" x14ac:dyDescent="0.25"/>
    <row r="3503" ht="15" customHeight="1" x14ac:dyDescent="0.25"/>
    <row r="3504" ht="15" customHeight="1" x14ac:dyDescent="0.25"/>
    <row r="3505" ht="15" customHeight="1" x14ac:dyDescent="0.25"/>
    <row r="3506" ht="15" customHeight="1" x14ac:dyDescent="0.25"/>
    <row r="3507" ht="15" customHeight="1" x14ac:dyDescent="0.25"/>
    <row r="3508" ht="15" customHeight="1" x14ac:dyDescent="0.25"/>
    <row r="3509" ht="15" customHeight="1" x14ac:dyDescent="0.25"/>
    <row r="3510" ht="15" customHeight="1" x14ac:dyDescent="0.25"/>
    <row r="3511" ht="15" customHeight="1" x14ac:dyDescent="0.25"/>
    <row r="3512" ht="15" customHeight="1" x14ac:dyDescent="0.25"/>
    <row r="3513" ht="15" customHeight="1" x14ac:dyDescent="0.25"/>
    <row r="3514" ht="15" customHeight="1" x14ac:dyDescent="0.25"/>
    <row r="3515" ht="15" customHeight="1" x14ac:dyDescent="0.25"/>
    <row r="3516" ht="15" customHeight="1" x14ac:dyDescent="0.25"/>
    <row r="3517" ht="15" customHeight="1" x14ac:dyDescent="0.25"/>
    <row r="3518" ht="15" customHeight="1" x14ac:dyDescent="0.25"/>
    <row r="3519" ht="15" customHeight="1" x14ac:dyDescent="0.25"/>
    <row r="3520" ht="15" customHeight="1" x14ac:dyDescent="0.25"/>
    <row r="3521" ht="15" customHeight="1" x14ac:dyDescent="0.25"/>
    <row r="3522" ht="15" customHeight="1" x14ac:dyDescent="0.25"/>
    <row r="3523" ht="15" customHeight="1" x14ac:dyDescent="0.25"/>
    <row r="3524" ht="15" customHeight="1" x14ac:dyDescent="0.25"/>
    <row r="3525" ht="15" customHeight="1" x14ac:dyDescent="0.25"/>
    <row r="3526" ht="15" customHeight="1" x14ac:dyDescent="0.25"/>
    <row r="3527" ht="15" customHeight="1" x14ac:dyDescent="0.25"/>
    <row r="3528" ht="15" customHeight="1" x14ac:dyDescent="0.25"/>
    <row r="3529" ht="15" customHeight="1" x14ac:dyDescent="0.25"/>
    <row r="3530" ht="15" customHeight="1" x14ac:dyDescent="0.25"/>
    <row r="3531" ht="15" customHeight="1" x14ac:dyDescent="0.25"/>
    <row r="3532" ht="15" customHeight="1" x14ac:dyDescent="0.25"/>
    <row r="3533" ht="15" customHeight="1" x14ac:dyDescent="0.25"/>
    <row r="3534" ht="15" customHeight="1" x14ac:dyDescent="0.25"/>
    <row r="3535" ht="15" customHeight="1" x14ac:dyDescent="0.25"/>
    <row r="3536" ht="15" customHeight="1" x14ac:dyDescent="0.25"/>
    <row r="3537" ht="15" customHeight="1" x14ac:dyDescent="0.25"/>
    <row r="3538" ht="15" customHeight="1" x14ac:dyDescent="0.25"/>
    <row r="3539" ht="15" customHeight="1" x14ac:dyDescent="0.25"/>
    <row r="3540" ht="15" customHeight="1" x14ac:dyDescent="0.25"/>
    <row r="3541" ht="15" customHeight="1" x14ac:dyDescent="0.25"/>
    <row r="3542" ht="15" customHeight="1" x14ac:dyDescent="0.25"/>
    <row r="3543" ht="15" customHeight="1" x14ac:dyDescent="0.25"/>
    <row r="3544" ht="15" customHeight="1" x14ac:dyDescent="0.25"/>
    <row r="3545" ht="15" customHeight="1" x14ac:dyDescent="0.25"/>
    <row r="3546" ht="15" customHeight="1" x14ac:dyDescent="0.25"/>
    <row r="3547" ht="15" customHeight="1" x14ac:dyDescent="0.25"/>
    <row r="3548" ht="15" customHeight="1" x14ac:dyDescent="0.25"/>
    <row r="3549" ht="15" customHeight="1" x14ac:dyDescent="0.25"/>
    <row r="3550" ht="15" customHeight="1" x14ac:dyDescent="0.25"/>
    <row r="3551" ht="15" customHeight="1" x14ac:dyDescent="0.25"/>
    <row r="3552" ht="15" customHeight="1" x14ac:dyDescent="0.25"/>
    <row r="3553" ht="15" customHeight="1" x14ac:dyDescent="0.25"/>
    <row r="3554" ht="15" customHeight="1" x14ac:dyDescent="0.25"/>
    <row r="3555" ht="15" customHeight="1" x14ac:dyDescent="0.25"/>
    <row r="3556" ht="15" customHeight="1" x14ac:dyDescent="0.25"/>
    <row r="3557" ht="15" customHeight="1" x14ac:dyDescent="0.25"/>
    <row r="3558" ht="15" customHeight="1" x14ac:dyDescent="0.25"/>
    <row r="3559" ht="15" customHeight="1" x14ac:dyDescent="0.25"/>
    <row r="3560" ht="15" customHeight="1" x14ac:dyDescent="0.25"/>
    <row r="3561" ht="15" customHeight="1" x14ac:dyDescent="0.25"/>
    <row r="3562" ht="15" customHeight="1" x14ac:dyDescent="0.25"/>
    <row r="3563" ht="15" customHeight="1" x14ac:dyDescent="0.25"/>
    <row r="3564" ht="15" customHeight="1" x14ac:dyDescent="0.25"/>
    <row r="3565" ht="15" customHeight="1" x14ac:dyDescent="0.25"/>
    <row r="3566" ht="15" customHeight="1" x14ac:dyDescent="0.25"/>
    <row r="3567" ht="15" customHeight="1" x14ac:dyDescent="0.25"/>
    <row r="3568" ht="15" customHeight="1" x14ac:dyDescent="0.25"/>
    <row r="3569" ht="15" customHeight="1" x14ac:dyDescent="0.25"/>
    <row r="3570" ht="15" customHeight="1" x14ac:dyDescent="0.25"/>
    <row r="3571" ht="15" customHeight="1" x14ac:dyDescent="0.25"/>
    <row r="3572" ht="15" customHeight="1" x14ac:dyDescent="0.25"/>
    <row r="3573" ht="15" customHeight="1" x14ac:dyDescent="0.25"/>
    <row r="3574" ht="15" customHeight="1" x14ac:dyDescent="0.25"/>
    <row r="3575" ht="15" customHeight="1" x14ac:dyDescent="0.25"/>
    <row r="3576" ht="15" customHeight="1" x14ac:dyDescent="0.25"/>
    <row r="3577" ht="15" customHeight="1" x14ac:dyDescent="0.25"/>
    <row r="3578" ht="15" customHeight="1" x14ac:dyDescent="0.25"/>
    <row r="3579" ht="15" customHeight="1" x14ac:dyDescent="0.25"/>
    <row r="3580" ht="15" customHeight="1" x14ac:dyDescent="0.25"/>
    <row r="3581" ht="15" customHeight="1" x14ac:dyDescent="0.25"/>
    <row r="3582" ht="15" customHeight="1" x14ac:dyDescent="0.25"/>
    <row r="3583" ht="15" customHeight="1" x14ac:dyDescent="0.25"/>
    <row r="3584" ht="15" customHeight="1" x14ac:dyDescent="0.25"/>
    <row r="3585" ht="15" customHeight="1" x14ac:dyDescent="0.25"/>
    <row r="3586" ht="15" customHeight="1" x14ac:dyDescent="0.25"/>
    <row r="3587" ht="15" customHeight="1" x14ac:dyDescent="0.25"/>
    <row r="3588" ht="15" customHeight="1" x14ac:dyDescent="0.25"/>
    <row r="3589" ht="15" customHeight="1" x14ac:dyDescent="0.25"/>
    <row r="3590" ht="15" customHeight="1" x14ac:dyDescent="0.25"/>
    <row r="3591" ht="15" customHeight="1" x14ac:dyDescent="0.25"/>
    <row r="3592" ht="15" customHeight="1" x14ac:dyDescent="0.25"/>
    <row r="3593" ht="15" customHeight="1" x14ac:dyDescent="0.25"/>
    <row r="3594" ht="15" customHeight="1" x14ac:dyDescent="0.25"/>
    <row r="3595" ht="15" customHeight="1" x14ac:dyDescent="0.25"/>
    <row r="3596" ht="15" customHeight="1" x14ac:dyDescent="0.25"/>
    <row r="3597" ht="15" customHeight="1" x14ac:dyDescent="0.25"/>
    <row r="3598" ht="15" customHeight="1" x14ac:dyDescent="0.25"/>
    <row r="3599" ht="15" customHeight="1" x14ac:dyDescent="0.25"/>
    <row r="3600" ht="15" customHeight="1" x14ac:dyDescent="0.25"/>
    <row r="3601" ht="15" customHeight="1" x14ac:dyDescent="0.25"/>
    <row r="3602" ht="15" customHeight="1" x14ac:dyDescent="0.25"/>
    <row r="3603" ht="15" customHeight="1" x14ac:dyDescent="0.25"/>
    <row r="3604" ht="15" customHeight="1" x14ac:dyDescent="0.25"/>
    <row r="3605" ht="15" customHeight="1" x14ac:dyDescent="0.25"/>
    <row r="3606" ht="15" customHeight="1" x14ac:dyDescent="0.25"/>
    <row r="3607" ht="15" customHeight="1" x14ac:dyDescent="0.25"/>
    <row r="3608" ht="15" customHeight="1" x14ac:dyDescent="0.25"/>
    <row r="3609" ht="15" customHeight="1" x14ac:dyDescent="0.25"/>
    <row r="3610" ht="15" customHeight="1" x14ac:dyDescent="0.25"/>
    <row r="3611" ht="15" customHeight="1" x14ac:dyDescent="0.25"/>
    <row r="3612" ht="15" customHeight="1" x14ac:dyDescent="0.25"/>
    <row r="3613" ht="15" customHeight="1" x14ac:dyDescent="0.25"/>
    <row r="3614" ht="15" customHeight="1" x14ac:dyDescent="0.25"/>
    <row r="3615" ht="15" customHeight="1" x14ac:dyDescent="0.25"/>
    <row r="3616" ht="15" customHeight="1" x14ac:dyDescent="0.25"/>
    <row r="3617" ht="15" customHeight="1" x14ac:dyDescent="0.25"/>
    <row r="3618" ht="15" customHeight="1" x14ac:dyDescent="0.25"/>
    <row r="3619" ht="15" customHeight="1" x14ac:dyDescent="0.25"/>
    <row r="3620" ht="15" customHeight="1" x14ac:dyDescent="0.25"/>
    <row r="3621" ht="15" customHeight="1" x14ac:dyDescent="0.25"/>
    <row r="3622" ht="15" customHeight="1" x14ac:dyDescent="0.25"/>
    <row r="3623" ht="15" customHeight="1" x14ac:dyDescent="0.25"/>
    <row r="3624" ht="15" customHeight="1" x14ac:dyDescent="0.25"/>
    <row r="3625" ht="15" customHeight="1" x14ac:dyDescent="0.25"/>
    <row r="3626" ht="15" customHeight="1" x14ac:dyDescent="0.25"/>
    <row r="3627" ht="15" customHeight="1" x14ac:dyDescent="0.25"/>
    <row r="3628" ht="15" customHeight="1" x14ac:dyDescent="0.25"/>
    <row r="3629" ht="15" customHeight="1" x14ac:dyDescent="0.25"/>
    <row r="3630" ht="15" customHeight="1" x14ac:dyDescent="0.25"/>
    <row r="3631" ht="15" customHeight="1" x14ac:dyDescent="0.25"/>
    <row r="3632" ht="15" customHeight="1" x14ac:dyDescent="0.25"/>
    <row r="3633" ht="15" customHeight="1" x14ac:dyDescent="0.25"/>
    <row r="3634" ht="15" customHeight="1" x14ac:dyDescent="0.25"/>
    <row r="3635" ht="15" customHeight="1" x14ac:dyDescent="0.25"/>
    <row r="3636" ht="15" customHeight="1" x14ac:dyDescent="0.25"/>
    <row r="3637" ht="15" customHeight="1" x14ac:dyDescent="0.25"/>
    <row r="3638" ht="15" customHeight="1" x14ac:dyDescent="0.25"/>
    <row r="3639" ht="15" customHeight="1" x14ac:dyDescent="0.25"/>
    <row r="3640" ht="15" customHeight="1" x14ac:dyDescent="0.25"/>
    <row r="3641" ht="15" customHeight="1" x14ac:dyDescent="0.25"/>
    <row r="3642" ht="15" customHeight="1" x14ac:dyDescent="0.25"/>
    <row r="3643" ht="15" customHeight="1" x14ac:dyDescent="0.25"/>
    <row r="3644" ht="15" customHeight="1" x14ac:dyDescent="0.25"/>
    <row r="3645" ht="15" customHeight="1" x14ac:dyDescent="0.25"/>
    <row r="3646" ht="15" customHeight="1" x14ac:dyDescent="0.25"/>
    <row r="3647" ht="15" customHeight="1" x14ac:dyDescent="0.25"/>
    <row r="3648" ht="15" customHeight="1" x14ac:dyDescent="0.25"/>
    <row r="3649" ht="15" customHeight="1" x14ac:dyDescent="0.25"/>
    <row r="3650" ht="15" customHeight="1" x14ac:dyDescent="0.25"/>
    <row r="3651" ht="15" customHeight="1" x14ac:dyDescent="0.25"/>
    <row r="3652" ht="15" customHeight="1" x14ac:dyDescent="0.25"/>
    <row r="3653" ht="15" customHeight="1" x14ac:dyDescent="0.25"/>
    <row r="3654" ht="15" customHeight="1" x14ac:dyDescent="0.25"/>
    <row r="3655" ht="15" customHeight="1" x14ac:dyDescent="0.25"/>
    <row r="3656" ht="15" customHeight="1" x14ac:dyDescent="0.25"/>
    <row r="3657" ht="15" customHeight="1" x14ac:dyDescent="0.25"/>
    <row r="3658" ht="15" customHeight="1" x14ac:dyDescent="0.25"/>
    <row r="3659" ht="15" customHeight="1" x14ac:dyDescent="0.25"/>
    <row r="3660" ht="15" customHeight="1" x14ac:dyDescent="0.25"/>
    <row r="3661" ht="15" customHeight="1" x14ac:dyDescent="0.25"/>
    <row r="3662" ht="15" customHeight="1" x14ac:dyDescent="0.25"/>
    <row r="3663" ht="15" customHeight="1" x14ac:dyDescent="0.25"/>
    <row r="3664" ht="15" customHeight="1" x14ac:dyDescent="0.25"/>
    <row r="3665" ht="15" customHeight="1" x14ac:dyDescent="0.25"/>
    <row r="3666" ht="15" customHeight="1" x14ac:dyDescent="0.25"/>
    <row r="3667" ht="15" customHeight="1" x14ac:dyDescent="0.25"/>
    <row r="3668" ht="15" customHeight="1" x14ac:dyDescent="0.25"/>
    <row r="3669" ht="15" customHeight="1" x14ac:dyDescent="0.25"/>
    <row r="3670" ht="15" customHeight="1" x14ac:dyDescent="0.25"/>
    <row r="3671" ht="15" customHeight="1" x14ac:dyDescent="0.25"/>
    <row r="3672" ht="15" customHeight="1" x14ac:dyDescent="0.25"/>
    <row r="3673" ht="15" customHeight="1" x14ac:dyDescent="0.25"/>
    <row r="3674" ht="15" customHeight="1" x14ac:dyDescent="0.25"/>
    <row r="3675" ht="15" customHeight="1" x14ac:dyDescent="0.25"/>
    <row r="3676" ht="15" customHeight="1" x14ac:dyDescent="0.25"/>
    <row r="3677" ht="15" customHeight="1" x14ac:dyDescent="0.25"/>
    <row r="3678" ht="15" customHeight="1" x14ac:dyDescent="0.25"/>
    <row r="3679" ht="15" customHeight="1" x14ac:dyDescent="0.25"/>
    <row r="3680" ht="15" customHeight="1" x14ac:dyDescent="0.25"/>
    <row r="3681" ht="15" customHeight="1" x14ac:dyDescent="0.25"/>
    <row r="3682" ht="15" customHeight="1" x14ac:dyDescent="0.25"/>
    <row r="3683" ht="15" customHeight="1" x14ac:dyDescent="0.25"/>
    <row r="3684" ht="15" customHeight="1" x14ac:dyDescent="0.25"/>
    <row r="3685" ht="15" customHeight="1" x14ac:dyDescent="0.25"/>
    <row r="3686" ht="15" customHeight="1" x14ac:dyDescent="0.25"/>
    <row r="3687" ht="15" customHeight="1" x14ac:dyDescent="0.25"/>
    <row r="3688" ht="15" customHeight="1" x14ac:dyDescent="0.25"/>
    <row r="3689" ht="15" customHeight="1" x14ac:dyDescent="0.25"/>
    <row r="3690" ht="15" customHeight="1" x14ac:dyDescent="0.25"/>
    <row r="3691" ht="15" customHeight="1" x14ac:dyDescent="0.25"/>
    <row r="3692" ht="15" customHeight="1" x14ac:dyDescent="0.25"/>
    <row r="3693" ht="15" customHeight="1" x14ac:dyDescent="0.25"/>
    <row r="3694" ht="15" customHeight="1" x14ac:dyDescent="0.25"/>
    <row r="3695" ht="15" customHeight="1" x14ac:dyDescent="0.25"/>
    <row r="3696" ht="15" customHeight="1" x14ac:dyDescent="0.25"/>
    <row r="3697" ht="15" customHeight="1" x14ac:dyDescent="0.25"/>
    <row r="3698" ht="15" customHeight="1" x14ac:dyDescent="0.25"/>
    <row r="3699" ht="15" customHeight="1" x14ac:dyDescent="0.25"/>
    <row r="3700" ht="15" customHeight="1" x14ac:dyDescent="0.25"/>
    <row r="3701" ht="15" customHeight="1" x14ac:dyDescent="0.25"/>
    <row r="3702" ht="15" customHeight="1" x14ac:dyDescent="0.25"/>
    <row r="3703" ht="15" customHeight="1" x14ac:dyDescent="0.25"/>
    <row r="3704" ht="15" customHeight="1" x14ac:dyDescent="0.25"/>
    <row r="3705" ht="15" customHeight="1" x14ac:dyDescent="0.25"/>
    <row r="3706" ht="15" customHeight="1" x14ac:dyDescent="0.25"/>
    <row r="3707" ht="15" customHeight="1" x14ac:dyDescent="0.25"/>
    <row r="3708" ht="15" customHeight="1" x14ac:dyDescent="0.25"/>
    <row r="3709" ht="15" customHeight="1" x14ac:dyDescent="0.25"/>
    <row r="3710" ht="15" customHeight="1" x14ac:dyDescent="0.25"/>
    <row r="3711" ht="15" customHeight="1" x14ac:dyDescent="0.25"/>
    <row r="3712" ht="15" customHeight="1" x14ac:dyDescent="0.25"/>
    <row r="3713" ht="15" customHeight="1" x14ac:dyDescent="0.25"/>
    <row r="3714" ht="15" customHeight="1" x14ac:dyDescent="0.25"/>
    <row r="3715" ht="15" customHeight="1" x14ac:dyDescent="0.25"/>
    <row r="3716" ht="15" customHeight="1" x14ac:dyDescent="0.25"/>
    <row r="3717" ht="15" customHeight="1" x14ac:dyDescent="0.25"/>
    <row r="3718" ht="15" customHeight="1" x14ac:dyDescent="0.25"/>
    <row r="3719" ht="15" customHeight="1" x14ac:dyDescent="0.25"/>
    <row r="3720" ht="15" customHeight="1" x14ac:dyDescent="0.25"/>
    <row r="3721" ht="15" customHeight="1" x14ac:dyDescent="0.25"/>
    <row r="3722" ht="15" customHeight="1" x14ac:dyDescent="0.25"/>
    <row r="3723" ht="15" customHeight="1" x14ac:dyDescent="0.25"/>
    <row r="3724" ht="15" customHeight="1" x14ac:dyDescent="0.25"/>
    <row r="3725" ht="15" customHeight="1" x14ac:dyDescent="0.25"/>
    <row r="3726" ht="15" customHeight="1" x14ac:dyDescent="0.25"/>
    <row r="3727" ht="15" customHeight="1" x14ac:dyDescent="0.25"/>
    <row r="3728" ht="15" customHeight="1" x14ac:dyDescent="0.25"/>
    <row r="3729" ht="15" customHeight="1" x14ac:dyDescent="0.25"/>
    <row r="3730" ht="15" customHeight="1" x14ac:dyDescent="0.25"/>
    <row r="3731" ht="15" customHeight="1" x14ac:dyDescent="0.25"/>
    <row r="3732" ht="15" customHeight="1" x14ac:dyDescent="0.25"/>
    <row r="3733" ht="15" customHeight="1" x14ac:dyDescent="0.25"/>
    <row r="3734" ht="15" customHeight="1" x14ac:dyDescent="0.25"/>
    <row r="3735" ht="15" customHeight="1" x14ac:dyDescent="0.25"/>
    <row r="3736" ht="15" customHeight="1" x14ac:dyDescent="0.25"/>
    <row r="3737" ht="15" customHeight="1" x14ac:dyDescent="0.25"/>
    <row r="3738" ht="15" customHeight="1" x14ac:dyDescent="0.25"/>
    <row r="3739" ht="15" customHeight="1" x14ac:dyDescent="0.25"/>
    <row r="3740" ht="15" customHeight="1" x14ac:dyDescent="0.25"/>
    <row r="3741" ht="15" customHeight="1" x14ac:dyDescent="0.25"/>
    <row r="3742" ht="15" customHeight="1" x14ac:dyDescent="0.25"/>
    <row r="3743" ht="15" customHeight="1" x14ac:dyDescent="0.25"/>
    <row r="3744" ht="15" customHeight="1" x14ac:dyDescent="0.25"/>
    <row r="3745" ht="15" customHeight="1" x14ac:dyDescent="0.25"/>
    <row r="3746" ht="15" customHeight="1" x14ac:dyDescent="0.25"/>
    <row r="3747" ht="15" customHeight="1" x14ac:dyDescent="0.25"/>
    <row r="3748" ht="15" customHeight="1" x14ac:dyDescent="0.25"/>
    <row r="3749" ht="15" customHeight="1" x14ac:dyDescent="0.25"/>
    <row r="3750" ht="15" customHeight="1" x14ac:dyDescent="0.25"/>
    <row r="3751" ht="15" customHeight="1" x14ac:dyDescent="0.25"/>
    <row r="3752" ht="15" customHeight="1" x14ac:dyDescent="0.25"/>
    <row r="3753" ht="15" customHeight="1" x14ac:dyDescent="0.25"/>
    <row r="3754" ht="15" customHeight="1" x14ac:dyDescent="0.25"/>
    <row r="3755" ht="15" customHeight="1" x14ac:dyDescent="0.25"/>
    <row r="3756" ht="15" customHeight="1" x14ac:dyDescent="0.25"/>
    <row r="3757" ht="15" customHeight="1" x14ac:dyDescent="0.25"/>
    <row r="3758" ht="15" customHeight="1" x14ac:dyDescent="0.25"/>
    <row r="3759" ht="15" customHeight="1" x14ac:dyDescent="0.25"/>
    <row r="3760" ht="15" customHeight="1" x14ac:dyDescent="0.25"/>
    <row r="3761" ht="15" customHeight="1" x14ac:dyDescent="0.25"/>
    <row r="3762" ht="15" customHeight="1" x14ac:dyDescent="0.25"/>
    <row r="3763" ht="15" customHeight="1" x14ac:dyDescent="0.25"/>
    <row r="3764" ht="15" customHeight="1" x14ac:dyDescent="0.25"/>
    <row r="3765" ht="15" customHeight="1" x14ac:dyDescent="0.25"/>
    <row r="3766" ht="15" customHeight="1" x14ac:dyDescent="0.25"/>
    <row r="3767" ht="15" customHeight="1" x14ac:dyDescent="0.25"/>
    <row r="3768" ht="15" customHeight="1" x14ac:dyDescent="0.25"/>
    <row r="3769" ht="15" customHeight="1" x14ac:dyDescent="0.25"/>
    <row r="3770" ht="15" customHeight="1" x14ac:dyDescent="0.25"/>
    <row r="3771" ht="15" customHeight="1" x14ac:dyDescent="0.25"/>
    <row r="3772" ht="15" customHeight="1" x14ac:dyDescent="0.25"/>
    <row r="3773" ht="15" customHeight="1" x14ac:dyDescent="0.25"/>
    <row r="3774" ht="15" customHeight="1" x14ac:dyDescent="0.25"/>
    <row r="3775" ht="15" customHeight="1" x14ac:dyDescent="0.25"/>
    <row r="3776" ht="15" customHeight="1" x14ac:dyDescent="0.25"/>
    <row r="3777" ht="15" customHeight="1" x14ac:dyDescent="0.25"/>
    <row r="3778" ht="15" customHeight="1" x14ac:dyDescent="0.25"/>
    <row r="3779" ht="15" customHeight="1" x14ac:dyDescent="0.25"/>
    <row r="3780" ht="15" customHeight="1" x14ac:dyDescent="0.25"/>
    <row r="3781" ht="15" customHeight="1" x14ac:dyDescent="0.25"/>
    <row r="3782" ht="15" customHeight="1" x14ac:dyDescent="0.25"/>
    <row r="3783" ht="15" customHeight="1" x14ac:dyDescent="0.25"/>
    <row r="3784" ht="15" customHeight="1" x14ac:dyDescent="0.25"/>
    <row r="3785" ht="15" customHeight="1" x14ac:dyDescent="0.25"/>
    <row r="3786" ht="15" customHeight="1" x14ac:dyDescent="0.25"/>
    <row r="3787" ht="15" customHeight="1" x14ac:dyDescent="0.25"/>
    <row r="3788" ht="15" customHeight="1" x14ac:dyDescent="0.25"/>
    <row r="3789" ht="15" customHeight="1" x14ac:dyDescent="0.25"/>
    <row r="3790" ht="15" customHeight="1" x14ac:dyDescent="0.25"/>
    <row r="3791" ht="15" customHeight="1" x14ac:dyDescent="0.25"/>
    <row r="3792" ht="15" customHeight="1" x14ac:dyDescent="0.25"/>
    <row r="3793" ht="15" customHeight="1" x14ac:dyDescent="0.25"/>
    <row r="3794" ht="15" customHeight="1" x14ac:dyDescent="0.25"/>
    <row r="3795" ht="15" customHeight="1" x14ac:dyDescent="0.25"/>
    <row r="3796" ht="15" customHeight="1" x14ac:dyDescent="0.25"/>
    <row r="3797" ht="15" customHeight="1" x14ac:dyDescent="0.25"/>
    <row r="3798" ht="15" customHeight="1" x14ac:dyDescent="0.25"/>
    <row r="3799" ht="15" customHeight="1" x14ac:dyDescent="0.25"/>
    <row r="3800" ht="15" customHeight="1" x14ac:dyDescent="0.25"/>
    <row r="3801" ht="15" customHeight="1" x14ac:dyDescent="0.25"/>
    <row r="3802" ht="15" customHeight="1" x14ac:dyDescent="0.25"/>
    <row r="3803" ht="15" customHeight="1" x14ac:dyDescent="0.25"/>
    <row r="3804" ht="15" customHeight="1" x14ac:dyDescent="0.25"/>
    <row r="3805" ht="15" customHeight="1" x14ac:dyDescent="0.25"/>
    <row r="3806" ht="15" customHeight="1" x14ac:dyDescent="0.25"/>
    <row r="3807" ht="15" customHeight="1" x14ac:dyDescent="0.25"/>
    <row r="3808" ht="15" customHeight="1" x14ac:dyDescent="0.25"/>
    <row r="3809" ht="15" customHeight="1" x14ac:dyDescent="0.25"/>
    <row r="3810" ht="15" customHeight="1" x14ac:dyDescent="0.25"/>
    <row r="3811" ht="15" customHeight="1" x14ac:dyDescent="0.25"/>
    <row r="3812" ht="15" customHeight="1" x14ac:dyDescent="0.25"/>
    <row r="3813" ht="15" customHeight="1" x14ac:dyDescent="0.25"/>
    <row r="3814" ht="15" customHeight="1" x14ac:dyDescent="0.25"/>
    <row r="3815" ht="15" customHeight="1" x14ac:dyDescent="0.25"/>
    <row r="3816" ht="15" customHeight="1" x14ac:dyDescent="0.25"/>
    <row r="3817" ht="15" customHeight="1" x14ac:dyDescent="0.25"/>
    <row r="3818" ht="15" customHeight="1" x14ac:dyDescent="0.25"/>
    <row r="3819" ht="15" customHeight="1" x14ac:dyDescent="0.25"/>
    <row r="3820" ht="15" customHeight="1" x14ac:dyDescent="0.25"/>
    <row r="3821" ht="15" customHeight="1" x14ac:dyDescent="0.25"/>
    <row r="3822" ht="15" customHeight="1" x14ac:dyDescent="0.25"/>
    <row r="3823" ht="15" customHeight="1" x14ac:dyDescent="0.25"/>
    <row r="3824" ht="15" customHeight="1" x14ac:dyDescent="0.25"/>
    <row r="3825" ht="15" customHeight="1" x14ac:dyDescent="0.25"/>
    <row r="3826" ht="15" customHeight="1" x14ac:dyDescent="0.25"/>
    <row r="3827" ht="15" customHeight="1" x14ac:dyDescent="0.25"/>
    <row r="3828" ht="15" customHeight="1" x14ac:dyDescent="0.25"/>
    <row r="3829" ht="15" customHeight="1" x14ac:dyDescent="0.25"/>
    <row r="3830" ht="15" customHeight="1" x14ac:dyDescent="0.25"/>
    <row r="3831" ht="15" customHeight="1" x14ac:dyDescent="0.25"/>
    <row r="3832" ht="15" customHeight="1" x14ac:dyDescent="0.25"/>
    <row r="3833" ht="15" customHeight="1" x14ac:dyDescent="0.25"/>
    <row r="3834" ht="15" customHeight="1" x14ac:dyDescent="0.25"/>
    <row r="3835" ht="15" customHeight="1" x14ac:dyDescent="0.25"/>
    <row r="3836" ht="15" customHeight="1" x14ac:dyDescent="0.25"/>
    <row r="3837" ht="15" customHeight="1" x14ac:dyDescent="0.25"/>
    <row r="3838" ht="15" customHeight="1" x14ac:dyDescent="0.25"/>
    <row r="3839" ht="15" customHeight="1" x14ac:dyDescent="0.25"/>
    <row r="3840" ht="15" customHeight="1" x14ac:dyDescent="0.25"/>
    <row r="3841" ht="15" customHeight="1" x14ac:dyDescent="0.25"/>
    <row r="3842" ht="15" customHeight="1" x14ac:dyDescent="0.25"/>
    <row r="3843" ht="15" customHeight="1" x14ac:dyDescent="0.25"/>
    <row r="3844" ht="15" customHeight="1" x14ac:dyDescent="0.25"/>
    <row r="3845" ht="15" customHeight="1" x14ac:dyDescent="0.25"/>
    <row r="3846" ht="15" customHeight="1" x14ac:dyDescent="0.25"/>
    <row r="3847" ht="15" customHeight="1" x14ac:dyDescent="0.25"/>
    <row r="3848" ht="15" customHeight="1" x14ac:dyDescent="0.25"/>
    <row r="3849" ht="15" customHeight="1" x14ac:dyDescent="0.25"/>
    <row r="3850" ht="15" customHeight="1" x14ac:dyDescent="0.25"/>
    <row r="3851" ht="15" customHeight="1" x14ac:dyDescent="0.25"/>
    <row r="3852" ht="15" customHeight="1" x14ac:dyDescent="0.25"/>
    <row r="3853" ht="15" customHeight="1" x14ac:dyDescent="0.25"/>
    <row r="3854" ht="15" customHeight="1" x14ac:dyDescent="0.25"/>
    <row r="3855" ht="15" customHeight="1" x14ac:dyDescent="0.25"/>
    <row r="3856" ht="15" customHeight="1" x14ac:dyDescent="0.25"/>
    <row r="3857" ht="15" customHeight="1" x14ac:dyDescent="0.25"/>
    <row r="3858" ht="15" customHeight="1" x14ac:dyDescent="0.25"/>
    <row r="3859" ht="15" customHeight="1" x14ac:dyDescent="0.25"/>
    <row r="3860" ht="15" customHeight="1" x14ac:dyDescent="0.25"/>
    <row r="3861" ht="15" customHeight="1" x14ac:dyDescent="0.25"/>
    <row r="3862" ht="15" customHeight="1" x14ac:dyDescent="0.25"/>
    <row r="3863" ht="15" customHeight="1" x14ac:dyDescent="0.25"/>
    <row r="3864" ht="15" customHeight="1" x14ac:dyDescent="0.25"/>
    <row r="3865" ht="15" customHeight="1" x14ac:dyDescent="0.25"/>
    <row r="3866" ht="15" customHeight="1" x14ac:dyDescent="0.25"/>
    <row r="3867" ht="15" customHeight="1" x14ac:dyDescent="0.25"/>
    <row r="3868" ht="15" customHeight="1" x14ac:dyDescent="0.25"/>
    <row r="3869" ht="15" customHeight="1" x14ac:dyDescent="0.25"/>
    <row r="3870" ht="15" customHeight="1" x14ac:dyDescent="0.25"/>
    <row r="3871" ht="15" customHeight="1" x14ac:dyDescent="0.25"/>
    <row r="3872" ht="15" customHeight="1" x14ac:dyDescent="0.25"/>
    <row r="3873" ht="15" customHeight="1" x14ac:dyDescent="0.25"/>
    <row r="3874" ht="15" customHeight="1" x14ac:dyDescent="0.25"/>
    <row r="3875" ht="15" customHeight="1" x14ac:dyDescent="0.25"/>
    <row r="3876" ht="15" customHeight="1" x14ac:dyDescent="0.25"/>
    <row r="3877" ht="15" customHeight="1" x14ac:dyDescent="0.25"/>
    <row r="3878" ht="15" customHeight="1" x14ac:dyDescent="0.25"/>
    <row r="3879" ht="15" customHeight="1" x14ac:dyDescent="0.25"/>
    <row r="3880" ht="15" customHeight="1" x14ac:dyDescent="0.25"/>
    <row r="3881" ht="15" customHeight="1" x14ac:dyDescent="0.25"/>
    <row r="3882" ht="15" customHeight="1" x14ac:dyDescent="0.25"/>
    <row r="3883" ht="15" customHeight="1" x14ac:dyDescent="0.25"/>
    <row r="3884" ht="15" customHeight="1" x14ac:dyDescent="0.25"/>
    <row r="3885" ht="15" customHeight="1" x14ac:dyDescent="0.25"/>
    <row r="3886" ht="15" customHeight="1" x14ac:dyDescent="0.25"/>
    <row r="3887" ht="15" customHeight="1" x14ac:dyDescent="0.25"/>
    <row r="3888" ht="15" customHeight="1" x14ac:dyDescent="0.25"/>
    <row r="3889" ht="15" customHeight="1" x14ac:dyDescent="0.25"/>
    <row r="3890" ht="15" customHeight="1" x14ac:dyDescent="0.25"/>
    <row r="3891" ht="15" customHeight="1" x14ac:dyDescent="0.25"/>
    <row r="3892" ht="15" customHeight="1" x14ac:dyDescent="0.25"/>
    <row r="3893" ht="15" customHeight="1" x14ac:dyDescent="0.25"/>
    <row r="3894" ht="15" customHeight="1" x14ac:dyDescent="0.25"/>
    <row r="3895" ht="15" customHeight="1" x14ac:dyDescent="0.25"/>
    <row r="3896" ht="15" customHeight="1" x14ac:dyDescent="0.25"/>
    <row r="3897" ht="15" customHeight="1" x14ac:dyDescent="0.25"/>
    <row r="3898" ht="15" customHeight="1" x14ac:dyDescent="0.25"/>
    <row r="3899" ht="15" customHeight="1" x14ac:dyDescent="0.25"/>
    <row r="3900" ht="15" customHeight="1" x14ac:dyDescent="0.25"/>
    <row r="3901" ht="15" customHeight="1" x14ac:dyDescent="0.25"/>
    <row r="3902" ht="15" customHeight="1" x14ac:dyDescent="0.25"/>
    <row r="3903" ht="15" customHeight="1" x14ac:dyDescent="0.25"/>
    <row r="3904" ht="15" customHeight="1" x14ac:dyDescent="0.25"/>
    <row r="3905" ht="15" customHeight="1" x14ac:dyDescent="0.25"/>
    <row r="3906" ht="15" customHeight="1" x14ac:dyDescent="0.25"/>
    <row r="3907" ht="15" customHeight="1" x14ac:dyDescent="0.25"/>
    <row r="3908" ht="15" customHeight="1" x14ac:dyDescent="0.25"/>
    <row r="3909" ht="15" customHeight="1" x14ac:dyDescent="0.25"/>
    <row r="3910" ht="15" customHeight="1" x14ac:dyDescent="0.25"/>
    <row r="3911" ht="15" customHeight="1" x14ac:dyDescent="0.25"/>
    <row r="3912" ht="15" customHeight="1" x14ac:dyDescent="0.25"/>
    <row r="3913" ht="15" customHeight="1" x14ac:dyDescent="0.25"/>
    <row r="3914" ht="15" customHeight="1" x14ac:dyDescent="0.25"/>
    <row r="3915" ht="15" customHeight="1" x14ac:dyDescent="0.25"/>
    <row r="3916" ht="15" customHeight="1" x14ac:dyDescent="0.25"/>
    <row r="3917" ht="15" customHeight="1" x14ac:dyDescent="0.25"/>
    <row r="3918" ht="15" customHeight="1" x14ac:dyDescent="0.25"/>
    <row r="3919" ht="15" customHeight="1" x14ac:dyDescent="0.25"/>
    <row r="3920" ht="15" customHeight="1" x14ac:dyDescent="0.25"/>
    <row r="3921" ht="15" customHeight="1" x14ac:dyDescent="0.25"/>
    <row r="3922" ht="15" customHeight="1" x14ac:dyDescent="0.25"/>
    <row r="3923" ht="15" customHeight="1" x14ac:dyDescent="0.25"/>
    <row r="3924" ht="15" customHeight="1" x14ac:dyDescent="0.25"/>
    <row r="3925" ht="15" customHeight="1" x14ac:dyDescent="0.25"/>
    <row r="3926" ht="15" customHeight="1" x14ac:dyDescent="0.25"/>
    <row r="3927" ht="15" customHeight="1" x14ac:dyDescent="0.25"/>
    <row r="3928" ht="15" customHeight="1" x14ac:dyDescent="0.25"/>
    <row r="3929" ht="15" customHeight="1" x14ac:dyDescent="0.25"/>
    <row r="3930" ht="15" customHeight="1" x14ac:dyDescent="0.25"/>
    <row r="3931" ht="15" customHeight="1" x14ac:dyDescent="0.25"/>
    <row r="3932" ht="15" customHeight="1" x14ac:dyDescent="0.25"/>
    <row r="3933" ht="15" customHeight="1" x14ac:dyDescent="0.25"/>
    <row r="3934" ht="15" customHeight="1" x14ac:dyDescent="0.25"/>
    <row r="3935" ht="15" customHeight="1" x14ac:dyDescent="0.25"/>
    <row r="3936" ht="15" customHeight="1" x14ac:dyDescent="0.25"/>
    <row r="3937" ht="15" customHeight="1" x14ac:dyDescent="0.25"/>
    <row r="3938" ht="15" customHeight="1" x14ac:dyDescent="0.25"/>
    <row r="3939" ht="15" customHeight="1" x14ac:dyDescent="0.25"/>
    <row r="3940" ht="15" customHeight="1" x14ac:dyDescent="0.25"/>
    <row r="3941" ht="15" customHeight="1" x14ac:dyDescent="0.25"/>
    <row r="3942" ht="15" customHeight="1" x14ac:dyDescent="0.25"/>
    <row r="3943" ht="15" customHeight="1" x14ac:dyDescent="0.25"/>
    <row r="3944" ht="15" customHeight="1" x14ac:dyDescent="0.25"/>
    <row r="3945" ht="15" customHeight="1" x14ac:dyDescent="0.25"/>
    <row r="3946" ht="15" customHeight="1" x14ac:dyDescent="0.25"/>
    <row r="3947" ht="15" customHeight="1" x14ac:dyDescent="0.25"/>
    <row r="3948" ht="15" customHeight="1" x14ac:dyDescent="0.25"/>
    <row r="3949" ht="15" customHeight="1" x14ac:dyDescent="0.25"/>
    <row r="3950" ht="15" customHeight="1" x14ac:dyDescent="0.25"/>
    <row r="3951" ht="15" customHeight="1" x14ac:dyDescent="0.25"/>
    <row r="3952" ht="15" customHeight="1" x14ac:dyDescent="0.25"/>
    <row r="3953" ht="15" customHeight="1" x14ac:dyDescent="0.25"/>
    <row r="3954" ht="15" customHeight="1" x14ac:dyDescent="0.25"/>
    <row r="3955" ht="15" customHeight="1" x14ac:dyDescent="0.25"/>
    <row r="3956" ht="15" customHeight="1" x14ac:dyDescent="0.25"/>
    <row r="3957" ht="15" customHeight="1" x14ac:dyDescent="0.25"/>
    <row r="3958" ht="15" customHeight="1" x14ac:dyDescent="0.25"/>
    <row r="3959" ht="15" customHeight="1" x14ac:dyDescent="0.25"/>
    <row r="3960" ht="15" customHeight="1" x14ac:dyDescent="0.25"/>
    <row r="3961" ht="15" customHeight="1" x14ac:dyDescent="0.25"/>
    <row r="3962" ht="15" customHeight="1" x14ac:dyDescent="0.25"/>
    <row r="3963" ht="15" customHeight="1" x14ac:dyDescent="0.25"/>
    <row r="3964" ht="15" customHeight="1" x14ac:dyDescent="0.25"/>
    <row r="3965" ht="15" customHeight="1" x14ac:dyDescent="0.25"/>
    <row r="3966" ht="15" customHeight="1" x14ac:dyDescent="0.25"/>
    <row r="3967" ht="15" customHeight="1" x14ac:dyDescent="0.25"/>
    <row r="3968" ht="15" customHeight="1" x14ac:dyDescent="0.25"/>
    <row r="3969" ht="15" customHeight="1" x14ac:dyDescent="0.25"/>
    <row r="3970" ht="15" customHeight="1" x14ac:dyDescent="0.25"/>
    <row r="3971" ht="15" customHeight="1" x14ac:dyDescent="0.25"/>
    <row r="3972" ht="15" customHeight="1" x14ac:dyDescent="0.25"/>
    <row r="3973" ht="15" customHeight="1" x14ac:dyDescent="0.25"/>
    <row r="3974" ht="15" customHeight="1" x14ac:dyDescent="0.25"/>
    <row r="3975" ht="15" customHeight="1" x14ac:dyDescent="0.25"/>
    <row r="3976" ht="15" customHeight="1" x14ac:dyDescent="0.25"/>
    <row r="3977" ht="15" customHeight="1" x14ac:dyDescent="0.25"/>
    <row r="3978" ht="15" customHeight="1" x14ac:dyDescent="0.25"/>
    <row r="3979" ht="15" customHeight="1" x14ac:dyDescent="0.25"/>
    <row r="3980" ht="15" customHeight="1" x14ac:dyDescent="0.25"/>
    <row r="3981" ht="15" customHeight="1" x14ac:dyDescent="0.25"/>
    <row r="3982" ht="15" customHeight="1" x14ac:dyDescent="0.25"/>
    <row r="3983" ht="15" customHeight="1" x14ac:dyDescent="0.25"/>
    <row r="3984" ht="15" customHeight="1" x14ac:dyDescent="0.25"/>
    <row r="3985" ht="15" customHeight="1" x14ac:dyDescent="0.25"/>
    <row r="3986" ht="15" customHeight="1" x14ac:dyDescent="0.25"/>
    <row r="3987" ht="15" customHeight="1" x14ac:dyDescent="0.25"/>
    <row r="3988" ht="15" customHeight="1" x14ac:dyDescent="0.25"/>
    <row r="3989" ht="15" customHeight="1" x14ac:dyDescent="0.25"/>
    <row r="3990" ht="15" customHeight="1" x14ac:dyDescent="0.25"/>
    <row r="3991" ht="15" customHeight="1" x14ac:dyDescent="0.25"/>
    <row r="3992" ht="15" customHeight="1" x14ac:dyDescent="0.25"/>
    <row r="3993" ht="15" customHeight="1" x14ac:dyDescent="0.25"/>
    <row r="3994" ht="15" customHeight="1" x14ac:dyDescent="0.25"/>
    <row r="3995" ht="15" customHeight="1" x14ac:dyDescent="0.25"/>
    <row r="3996" ht="15" customHeight="1" x14ac:dyDescent="0.25"/>
    <row r="3997" ht="15" customHeight="1" x14ac:dyDescent="0.25"/>
    <row r="3998" ht="15" customHeight="1" x14ac:dyDescent="0.25"/>
    <row r="3999" ht="15" customHeight="1" x14ac:dyDescent="0.25"/>
    <row r="4000" ht="15" customHeight="1" x14ac:dyDescent="0.25"/>
    <row r="4001" ht="15" customHeight="1" x14ac:dyDescent="0.25"/>
    <row r="4002" ht="15" customHeight="1" x14ac:dyDescent="0.25"/>
    <row r="4003" ht="15" customHeight="1" x14ac:dyDescent="0.25"/>
    <row r="4004" ht="15" customHeight="1" x14ac:dyDescent="0.25"/>
    <row r="4005" ht="15" customHeight="1" x14ac:dyDescent="0.25"/>
    <row r="4006" ht="15" customHeight="1" x14ac:dyDescent="0.25"/>
    <row r="4007" ht="15" customHeight="1" x14ac:dyDescent="0.25"/>
    <row r="4008" ht="15" customHeight="1" x14ac:dyDescent="0.25"/>
    <row r="4009" ht="15" customHeight="1" x14ac:dyDescent="0.25"/>
    <row r="4010" ht="15" customHeight="1" x14ac:dyDescent="0.25"/>
    <row r="4011" ht="15" customHeight="1" x14ac:dyDescent="0.25"/>
    <row r="4012" ht="15" customHeight="1" x14ac:dyDescent="0.25"/>
    <row r="4013" ht="15" customHeight="1" x14ac:dyDescent="0.25"/>
    <row r="4014" ht="15" customHeight="1" x14ac:dyDescent="0.25"/>
    <row r="4015" ht="15" customHeight="1" x14ac:dyDescent="0.25"/>
    <row r="4016" ht="15" customHeight="1" x14ac:dyDescent="0.25"/>
    <row r="4017" ht="15" customHeight="1" x14ac:dyDescent="0.25"/>
    <row r="4018" ht="15" customHeight="1" x14ac:dyDescent="0.25"/>
    <row r="4019" ht="15" customHeight="1" x14ac:dyDescent="0.25"/>
    <row r="4020" ht="15" customHeight="1" x14ac:dyDescent="0.25"/>
    <row r="4021" ht="15" customHeight="1" x14ac:dyDescent="0.25"/>
    <row r="4022" ht="15" customHeight="1" x14ac:dyDescent="0.25"/>
    <row r="4023" ht="15" customHeight="1" x14ac:dyDescent="0.25"/>
    <row r="4024" ht="15" customHeight="1" x14ac:dyDescent="0.25"/>
    <row r="4025" ht="15" customHeight="1" x14ac:dyDescent="0.25"/>
    <row r="4026" ht="15" customHeight="1" x14ac:dyDescent="0.25"/>
    <row r="4027" ht="15" customHeight="1" x14ac:dyDescent="0.25"/>
    <row r="4028" ht="15" customHeight="1" x14ac:dyDescent="0.25"/>
    <row r="4029" ht="15" customHeight="1" x14ac:dyDescent="0.25"/>
    <row r="4030" ht="15" customHeight="1" x14ac:dyDescent="0.25"/>
    <row r="4031" ht="15" customHeight="1" x14ac:dyDescent="0.25"/>
    <row r="4032" ht="15" customHeight="1" x14ac:dyDescent="0.25"/>
    <row r="4033" ht="15" customHeight="1" x14ac:dyDescent="0.25"/>
    <row r="4034" ht="15" customHeight="1" x14ac:dyDescent="0.25"/>
    <row r="4035" ht="15" customHeight="1" x14ac:dyDescent="0.25"/>
    <row r="4036" ht="15" customHeight="1" x14ac:dyDescent="0.25"/>
    <row r="4037" ht="15" customHeight="1" x14ac:dyDescent="0.25"/>
    <row r="4038" ht="15" customHeight="1" x14ac:dyDescent="0.25"/>
    <row r="4039" ht="15" customHeight="1" x14ac:dyDescent="0.25"/>
    <row r="4040" ht="15" customHeight="1" x14ac:dyDescent="0.25"/>
    <row r="4041" ht="15" customHeight="1" x14ac:dyDescent="0.25"/>
    <row r="4042" ht="15" customHeight="1" x14ac:dyDescent="0.25"/>
    <row r="4043" ht="15" customHeight="1" x14ac:dyDescent="0.25"/>
    <row r="4044" ht="15" customHeight="1" x14ac:dyDescent="0.25"/>
    <row r="4045" ht="15" customHeight="1" x14ac:dyDescent="0.25"/>
    <row r="4046" ht="15" customHeight="1" x14ac:dyDescent="0.25"/>
    <row r="4047" ht="15" customHeight="1" x14ac:dyDescent="0.25"/>
    <row r="4048" ht="15" customHeight="1" x14ac:dyDescent="0.25"/>
    <row r="4049" ht="15" customHeight="1" x14ac:dyDescent="0.25"/>
    <row r="4050" ht="15" customHeight="1" x14ac:dyDescent="0.25"/>
    <row r="4051" ht="15" customHeight="1" x14ac:dyDescent="0.25"/>
    <row r="4052" ht="15" customHeight="1" x14ac:dyDescent="0.25"/>
    <row r="4053" ht="15" customHeight="1" x14ac:dyDescent="0.25"/>
    <row r="4054" ht="15" customHeight="1" x14ac:dyDescent="0.25"/>
    <row r="4055" ht="15" customHeight="1" x14ac:dyDescent="0.25"/>
    <row r="4056" ht="15" customHeight="1" x14ac:dyDescent="0.25"/>
    <row r="4057" ht="15" customHeight="1" x14ac:dyDescent="0.25"/>
    <row r="4058" ht="15" customHeight="1" x14ac:dyDescent="0.25"/>
    <row r="4059" ht="15" customHeight="1" x14ac:dyDescent="0.25"/>
    <row r="4060" ht="15" customHeight="1" x14ac:dyDescent="0.25"/>
    <row r="4061" ht="15" customHeight="1" x14ac:dyDescent="0.25"/>
    <row r="4062" ht="15" customHeight="1" x14ac:dyDescent="0.25"/>
    <row r="4063" ht="15" customHeight="1" x14ac:dyDescent="0.25"/>
    <row r="4064" ht="15" customHeight="1" x14ac:dyDescent="0.25"/>
    <row r="4065" ht="15" customHeight="1" x14ac:dyDescent="0.25"/>
    <row r="4066" ht="15" customHeight="1" x14ac:dyDescent="0.25"/>
    <row r="4067" ht="15" customHeight="1" x14ac:dyDescent="0.25"/>
    <row r="4068" ht="15" customHeight="1" x14ac:dyDescent="0.25"/>
    <row r="4069" ht="15" customHeight="1" x14ac:dyDescent="0.25"/>
    <row r="4070" ht="15" customHeight="1" x14ac:dyDescent="0.25"/>
    <row r="4071" ht="15" customHeight="1" x14ac:dyDescent="0.25"/>
    <row r="4072" ht="15" customHeight="1" x14ac:dyDescent="0.25"/>
    <row r="4073" ht="15" customHeight="1" x14ac:dyDescent="0.25"/>
    <row r="4074" ht="15" customHeight="1" x14ac:dyDescent="0.25"/>
    <row r="4075" ht="15" customHeight="1" x14ac:dyDescent="0.25"/>
    <row r="4076" ht="15" customHeight="1" x14ac:dyDescent="0.25"/>
    <row r="4077" ht="15" customHeight="1" x14ac:dyDescent="0.25"/>
    <row r="4078" ht="15" customHeight="1" x14ac:dyDescent="0.25"/>
    <row r="4079" ht="15" customHeight="1" x14ac:dyDescent="0.25"/>
    <row r="4080" ht="15" customHeight="1" x14ac:dyDescent="0.25"/>
    <row r="4081" ht="15" customHeight="1" x14ac:dyDescent="0.25"/>
    <row r="4082" ht="15" customHeight="1" x14ac:dyDescent="0.25"/>
    <row r="4083" ht="15" customHeight="1" x14ac:dyDescent="0.25"/>
    <row r="4084" ht="15" customHeight="1" x14ac:dyDescent="0.25"/>
    <row r="4085" ht="15" customHeight="1" x14ac:dyDescent="0.25"/>
    <row r="4086" ht="15" customHeight="1" x14ac:dyDescent="0.25"/>
    <row r="4087" ht="15" customHeight="1" x14ac:dyDescent="0.25"/>
    <row r="4088" ht="15" customHeight="1" x14ac:dyDescent="0.25"/>
    <row r="4089" ht="15" customHeight="1" x14ac:dyDescent="0.25"/>
    <row r="4090" ht="15" customHeight="1" x14ac:dyDescent="0.25"/>
    <row r="4091" ht="15" customHeight="1" x14ac:dyDescent="0.25"/>
    <row r="4092" ht="15" customHeight="1" x14ac:dyDescent="0.25"/>
    <row r="4093" ht="15" customHeight="1" x14ac:dyDescent="0.25"/>
    <row r="4094" ht="15" customHeight="1" x14ac:dyDescent="0.25"/>
    <row r="4095" ht="15" customHeight="1" x14ac:dyDescent="0.25"/>
    <row r="4096" ht="15" customHeight="1" x14ac:dyDescent="0.25"/>
    <row r="4097" ht="15" customHeight="1" x14ac:dyDescent="0.25"/>
    <row r="4098" ht="15" customHeight="1" x14ac:dyDescent="0.25"/>
    <row r="4099" ht="15" customHeight="1" x14ac:dyDescent="0.25"/>
    <row r="4100" ht="15" customHeight="1" x14ac:dyDescent="0.25"/>
    <row r="4101" ht="15" customHeight="1" x14ac:dyDescent="0.25"/>
    <row r="4102" ht="15" customHeight="1" x14ac:dyDescent="0.25"/>
    <row r="4103" ht="15" customHeight="1" x14ac:dyDescent="0.25"/>
    <row r="4104" ht="15" customHeight="1" x14ac:dyDescent="0.25"/>
    <row r="4105" ht="15" customHeight="1" x14ac:dyDescent="0.25"/>
    <row r="4106" ht="15" customHeight="1" x14ac:dyDescent="0.25"/>
    <row r="4107" ht="15" customHeight="1" x14ac:dyDescent="0.25"/>
    <row r="4108" ht="15" customHeight="1" x14ac:dyDescent="0.25"/>
    <row r="4109" ht="15" customHeight="1" x14ac:dyDescent="0.25"/>
    <row r="4110" ht="15" customHeight="1" x14ac:dyDescent="0.25"/>
    <row r="4111" ht="15" customHeight="1" x14ac:dyDescent="0.25"/>
    <row r="4112" ht="15" customHeight="1" x14ac:dyDescent="0.25"/>
    <row r="4113" ht="15" customHeight="1" x14ac:dyDescent="0.25"/>
    <row r="4114" ht="15" customHeight="1" x14ac:dyDescent="0.25"/>
    <row r="4115" ht="15" customHeight="1" x14ac:dyDescent="0.25"/>
    <row r="4116" ht="15" customHeight="1" x14ac:dyDescent="0.25"/>
    <row r="4117" ht="15" customHeight="1" x14ac:dyDescent="0.25"/>
    <row r="4118" ht="15" customHeight="1" x14ac:dyDescent="0.25"/>
    <row r="4119" ht="15" customHeight="1" x14ac:dyDescent="0.25"/>
    <row r="4120" ht="15" customHeight="1" x14ac:dyDescent="0.25"/>
    <row r="4121" ht="15" customHeight="1" x14ac:dyDescent="0.25"/>
    <row r="4122" ht="15" customHeight="1" x14ac:dyDescent="0.25"/>
    <row r="4123" ht="15" customHeight="1" x14ac:dyDescent="0.25"/>
    <row r="4124" ht="15" customHeight="1" x14ac:dyDescent="0.25"/>
    <row r="4125" ht="15" customHeight="1" x14ac:dyDescent="0.25"/>
    <row r="4126" ht="15" customHeight="1" x14ac:dyDescent="0.25"/>
    <row r="4127" ht="15" customHeight="1" x14ac:dyDescent="0.25"/>
    <row r="4128" ht="15" customHeight="1" x14ac:dyDescent="0.25"/>
    <row r="4129" ht="15" customHeight="1" x14ac:dyDescent="0.25"/>
    <row r="4130" ht="15" customHeight="1" x14ac:dyDescent="0.25"/>
    <row r="4131" ht="15" customHeight="1" x14ac:dyDescent="0.25"/>
    <row r="4132" ht="15" customHeight="1" x14ac:dyDescent="0.25"/>
    <row r="4133" ht="15" customHeight="1" x14ac:dyDescent="0.25"/>
    <row r="4134" ht="15" customHeight="1" x14ac:dyDescent="0.25"/>
    <row r="4135" ht="15" customHeight="1" x14ac:dyDescent="0.25"/>
    <row r="4136" ht="15" customHeight="1" x14ac:dyDescent="0.25"/>
    <row r="4137" ht="15" customHeight="1" x14ac:dyDescent="0.25"/>
    <row r="4138" ht="15" customHeight="1" x14ac:dyDescent="0.25"/>
    <row r="4139" ht="15" customHeight="1" x14ac:dyDescent="0.25"/>
    <row r="4140" ht="15" customHeight="1" x14ac:dyDescent="0.25"/>
    <row r="4141" ht="15" customHeight="1" x14ac:dyDescent="0.25"/>
    <row r="4142" ht="15" customHeight="1" x14ac:dyDescent="0.25"/>
    <row r="4143" ht="15" customHeight="1" x14ac:dyDescent="0.25"/>
    <row r="4144" ht="15" customHeight="1" x14ac:dyDescent="0.25"/>
    <row r="4145" ht="15" customHeight="1" x14ac:dyDescent="0.25"/>
    <row r="4146" ht="15" customHeight="1" x14ac:dyDescent="0.25"/>
    <row r="4147" ht="15" customHeight="1" x14ac:dyDescent="0.25"/>
    <row r="4148" ht="15" customHeight="1" x14ac:dyDescent="0.25"/>
    <row r="4149" ht="15" customHeight="1" x14ac:dyDescent="0.25"/>
    <row r="4150" ht="15" customHeight="1" x14ac:dyDescent="0.25"/>
    <row r="4151" ht="15" customHeight="1" x14ac:dyDescent="0.25"/>
    <row r="4152" ht="15" customHeight="1" x14ac:dyDescent="0.25"/>
    <row r="4153" ht="15" customHeight="1" x14ac:dyDescent="0.25"/>
    <row r="4154" ht="15" customHeight="1" x14ac:dyDescent="0.25"/>
    <row r="4155" ht="15" customHeight="1" x14ac:dyDescent="0.25"/>
    <row r="4156" ht="15" customHeight="1" x14ac:dyDescent="0.25"/>
    <row r="4157" ht="15" customHeight="1" x14ac:dyDescent="0.25"/>
    <row r="4158" ht="15" customHeight="1" x14ac:dyDescent="0.25"/>
    <row r="4159" ht="15" customHeight="1" x14ac:dyDescent="0.25"/>
    <row r="4160" ht="15" customHeight="1" x14ac:dyDescent="0.25"/>
    <row r="4161" ht="15" customHeight="1" x14ac:dyDescent="0.25"/>
    <row r="4162" ht="15" customHeight="1" x14ac:dyDescent="0.25"/>
    <row r="4163" ht="15" customHeight="1" x14ac:dyDescent="0.25"/>
    <row r="4164" ht="15" customHeight="1" x14ac:dyDescent="0.25"/>
    <row r="4165" ht="15" customHeight="1" x14ac:dyDescent="0.25"/>
    <row r="4166" ht="15" customHeight="1" x14ac:dyDescent="0.25"/>
    <row r="4167" ht="15" customHeight="1" x14ac:dyDescent="0.25"/>
    <row r="4168" ht="15" customHeight="1" x14ac:dyDescent="0.25"/>
    <row r="4169" ht="15" customHeight="1" x14ac:dyDescent="0.25"/>
    <row r="4170" ht="15" customHeight="1" x14ac:dyDescent="0.25"/>
    <row r="4171" ht="15" customHeight="1" x14ac:dyDescent="0.25"/>
    <row r="4172" ht="15" customHeight="1" x14ac:dyDescent="0.25"/>
    <row r="4173" ht="15" customHeight="1" x14ac:dyDescent="0.25"/>
    <row r="4174" ht="15" customHeight="1" x14ac:dyDescent="0.25"/>
    <row r="4175" ht="15" customHeight="1" x14ac:dyDescent="0.25"/>
    <row r="4176" ht="15" customHeight="1" x14ac:dyDescent="0.25"/>
    <row r="4177" ht="15" customHeight="1" x14ac:dyDescent="0.25"/>
    <row r="4178" ht="15" customHeight="1" x14ac:dyDescent="0.25"/>
    <row r="4179" ht="15" customHeight="1" x14ac:dyDescent="0.25"/>
    <row r="4180" ht="15" customHeight="1" x14ac:dyDescent="0.25"/>
    <row r="4181" ht="15" customHeight="1" x14ac:dyDescent="0.25"/>
    <row r="4182" ht="15" customHeight="1" x14ac:dyDescent="0.25"/>
    <row r="4183" ht="15" customHeight="1" x14ac:dyDescent="0.25"/>
    <row r="4184" ht="15" customHeight="1" x14ac:dyDescent="0.25"/>
    <row r="4185" ht="15" customHeight="1" x14ac:dyDescent="0.25"/>
    <row r="4186" ht="15" customHeight="1" x14ac:dyDescent="0.25"/>
    <row r="4187" ht="15" customHeight="1" x14ac:dyDescent="0.25"/>
    <row r="4188" ht="15" customHeight="1" x14ac:dyDescent="0.25"/>
    <row r="4189" ht="15" customHeight="1" x14ac:dyDescent="0.25"/>
    <row r="4190" ht="15" customHeight="1" x14ac:dyDescent="0.25"/>
    <row r="4191" ht="15" customHeight="1" x14ac:dyDescent="0.25"/>
    <row r="4192" ht="15" customHeight="1" x14ac:dyDescent="0.25"/>
    <row r="4193" ht="15" customHeight="1" x14ac:dyDescent="0.25"/>
    <row r="4194" ht="15" customHeight="1" x14ac:dyDescent="0.25"/>
    <row r="4195" ht="15" customHeight="1" x14ac:dyDescent="0.25"/>
    <row r="4196" ht="15" customHeight="1" x14ac:dyDescent="0.25"/>
    <row r="4197" ht="15" customHeight="1" x14ac:dyDescent="0.25"/>
    <row r="4198" ht="15" customHeight="1" x14ac:dyDescent="0.25"/>
    <row r="4199" ht="15" customHeight="1" x14ac:dyDescent="0.25"/>
    <row r="4200" ht="15" customHeight="1" x14ac:dyDescent="0.25"/>
    <row r="4201" ht="15" customHeight="1" x14ac:dyDescent="0.25"/>
    <row r="4202" ht="15" customHeight="1" x14ac:dyDescent="0.25"/>
    <row r="4203" ht="15" customHeight="1" x14ac:dyDescent="0.25"/>
    <row r="4204" ht="15" customHeight="1" x14ac:dyDescent="0.25"/>
    <row r="4205" ht="15" customHeight="1" x14ac:dyDescent="0.25"/>
    <row r="4206" ht="15" customHeight="1" x14ac:dyDescent="0.25"/>
    <row r="4207" ht="15" customHeight="1" x14ac:dyDescent="0.25"/>
    <row r="4208" ht="15" customHeight="1" x14ac:dyDescent="0.25"/>
    <row r="4209" ht="15" customHeight="1" x14ac:dyDescent="0.25"/>
    <row r="4210" ht="15" customHeight="1" x14ac:dyDescent="0.25"/>
    <row r="4211" ht="15" customHeight="1" x14ac:dyDescent="0.25"/>
    <row r="4212" ht="15" customHeight="1" x14ac:dyDescent="0.25"/>
    <row r="4213" ht="15" customHeight="1" x14ac:dyDescent="0.25"/>
    <row r="4214" ht="15" customHeight="1" x14ac:dyDescent="0.25"/>
    <row r="4215" ht="15" customHeight="1" x14ac:dyDescent="0.25"/>
    <row r="4216" ht="15" customHeight="1" x14ac:dyDescent="0.25"/>
    <row r="4217" ht="15" customHeight="1" x14ac:dyDescent="0.25"/>
    <row r="4218" ht="15" customHeight="1" x14ac:dyDescent="0.25"/>
    <row r="4219" ht="15" customHeight="1" x14ac:dyDescent="0.25"/>
    <row r="4220" ht="15" customHeight="1" x14ac:dyDescent="0.25"/>
    <row r="4221" ht="15" customHeight="1" x14ac:dyDescent="0.25"/>
    <row r="4222" ht="15" customHeight="1" x14ac:dyDescent="0.25"/>
    <row r="4223" ht="15" customHeight="1" x14ac:dyDescent="0.25"/>
    <row r="4224" ht="15" customHeight="1" x14ac:dyDescent="0.25"/>
    <row r="4225" ht="15" customHeight="1" x14ac:dyDescent="0.25"/>
    <row r="4226" ht="15" customHeight="1" x14ac:dyDescent="0.25"/>
    <row r="4227" ht="15" customHeight="1" x14ac:dyDescent="0.25"/>
    <row r="4228" ht="15" customHeight="1" x14ac:dyDescent="0.25"/>
    <row r="4229" ht="15" customHeight="1" x14ac:dyDescent="0.25"/>
    <row r="4230" ht="15" customHeight="1" x14ac:dyDescent="0.25"/>
    <row r="4231" ht="15" customHeight="1" x14ac:dyDescent="0.25"/>
    <row r="4232" ht="15" customHeight="1" x14ac:dyDescent="0.25"/>
    <row r="4233" ht="15" customHeight="1" x14ac:dyDescent="0.25"/>
    <row r="4234" ht="15" customHeight="1" x14ac:dyDescent="0.25"/>
    <row r="4235" ht="15" customHeight="1" x14ac:dyDescent="0.25"/>
    <row r="4236" ht="15" customHeight="1" x14ac:dyDescent="0.25"/>
    <row r="4237" ht="15" customHeight="1" x14ac:dyDescent="0.25"/>
    <row r="4238" ht="15" customHeight="1" x14ac:dyDescent="0.25"/>
    <row r="4239" ht="15" customHeight="1" x14ac:dyDescent="0.25"/>
    <row r="4240" ht="15" customHeight="1" x14ac:dyDescent="0.25"/>
    <row r="4241" ht="15" customHeight="1" x14ac:dyDescent="0.25"/>
    <row r="4242" ht="15" customHeight="1" x14ac:dyDescent="0.25"/>
    <row r="4243" ht="15" customHeight="1" x14ac:dyDescent="0.25"/>
    <row r="4244" ht="15" customHeight="1" x14ac:dyDescent="0.25"/>
    <row r="4245" ht="15" customHeight="1" x14ac:dyDescent="0.25"/>
    <row r="4246" ht="15" customHeight="1" x14ac:dyDescent="0.25"/>
    <row r="4247" ht="15" customHeight="1" x14ac:dyDescent="0.25"/>
    <row r="4248" ht="15" customHeight="1" x14ac:dyDescent="0.25"/>
    <row r="4249" ht="15" customHeight="1" x14ac:dyDescent="0.25"/>
    <row r="4250" ht="15" customHeight="1" x14ac:dyDescent="0.25"/>
    <row r="4251" ht="15" customHeight="1" x14ac:dyDescent="0.25"/>
    <row r="4252" ht="15" customHeight="1" x14ac:dyDescent="0.25"/>
    <row r="4253" ht="15" customHeight="1" x14ac:dyDescent="0.25"/>
    <row r="4254" ht="15" customHeight="1" x14ac:dyDescent="0.25"/>
    <row r="4255" ht="15" customHeight="1" x14ac:dyDescent="0.25"/>
    <row r="4256" ht="15" customHeight="1" x14ac:dyDescent="0.25"/>
    <row r="4257" ht="15" customHeight="1" x14ac:dyDescent="0.25"/>
    <row r="4258" ht="15" customHeight="1" x14ac:dyDescent="0.25"/>
    <row r="4259" ht="15" customHeight="1" x14ac:dyDescent="0.25"/>
    <row r="4260" ht="15" customHeight="1" x14ac:dyDescent="0.25"/>
    <row r="4261" ht="15" customHeight="1" x14ac:dyDescent="0.25"/>
    <row r="4262" ht="15" customHeight="1" x14ac:dyDescent="0.25"/>
    <row r="4263" ht="15" customHeight="1" x14ac:dyDescent="0.25"/>
    <row r="4264" ht="15" customHeight="1" x14ac:dyDescent="0.25"/>
    <row r="4265" ht="15" customHeight="1" x14ac:dyDescent="0.25"/>
    <row r="4266" ht="15" customHeight="1" x14ac:dyDescent="0.25"/>
    <row r="4267" ht="15" customHeight="1" x14ac:dyDescent="0.25"/>
    <row r="4268" ht="15" customHeight="1" x14ac:dyDescent="0.25"/>
    <row r="4269" ht="15" customHeight="1" x14ac:dyDescent="0.25"/>
    <row r="4270" ht="15" customHeight="1" x14ac:dyDescent="0.25"/>
    <row r="4271" ht="15" customHeight="1" x14ac:dyDescent="0.25"/>
    <row r="4272" ht="15" customHeight="1" x14ac:dyDescent="0.25"/>
    <row r="4273" ht="15" customHeight="1" x14ac:dyDescent="0.25"/>
    <row r="4274" ht="15" customHeight="1" x14ac:dyDescent="0.25"/>
    <row r="4275" ht="15" customHeight="1" x14ac:dyDescent="0.25"/>
    <row r="4276" ht="15" customHeight="1" x14ac:dyDescent="0.25"/>
    <row r="4277" ht="15" customHeight="1" x14ac:dyDescent="0.25"/>
    <row r="4278" ht="15" customHeight="1" x14ac:dyDescent="0.25"/>
    <row r="4279" ht="15" customHeight="1" x14ac:dyDescent="0.25"/>
    <row r="4280" ht="15" customHeight="1" x14ac:dyDescent="0.25"/>
    <row r="4281" ht="15" customHeight="1" x14ac:dyDescent="0.25"/>
    <row r="4282" ht="15" customHeight="1" x14ac:dyDescent="0.25"/>
    <row r="4283" ht="15" customHeight="1" x14ac:dyDescent="0.25"/>
    <row r="4284" ht="15" customHeight="1" x14ac:dyDescent="0.25"/>
    <row r="4285" ht="15" customHeight="1" x14ac:dyDescent="0.25"/>
    <row r="4286" ht="15" customHeight="1" x14ac:dyDescent="0.25"/>
    <row r="4287" ht="15" customHeight="1" x14ac:dyDescent="0.25"/>
    <row r="4288" ht="15" customHeight="1" x14ac:dyDescent="0.25"/>
    <row r="4289" ht="15" customHeight="1" x14ac:dyDescent="0.25"/>
    <row r="4290" ht="15" customHeight="1" x14ac:dyDescent="0.25"/>
    <row r="4291" ht="15" customHeight="1" x14ac:dyDescent="0.25"/>
    <row r="4292" ht="15" customHeight="1" x14ac:dyDescent="0.25"/>
    <row r="4293" ht="15" customHeight="1" x14ac:dyDescent="0.25"/>
    <row r="4294" ht="15" customHeight="1" x14ac:dyDescent="0.25"/>
    <row r="4295" ht="15" customHeight="1" x14ac:dyDescent="0.25"/>
    <row r="4296" ht="15" customHeight="1" x14ac:dyDescent="0.25"/>
    <row r="4297" ht="15" customHeight="1" x14ac:dyDescent="0.25"/>
    <row r="4298" ht="15" customHeight="1" x14ac:dyDescent="0.25"/>
    <row r="4299" ht="15" customHeight="1" x14ac:dyDescent="0.25"/>
    <row r="4300" ht="15" customHeight="1" x14ac:dyDescent="0.25"/>
    <row r="4301" ht="15" customHeight="1" x14ac:dyDescent="0.25"/>
    <row r="4302" ht="15" customHeight="1" x14ac:dyDescent="0.25"/>
    <row r="4303" ht="15" customHeight="1" x14ac:dyDescent="0.25"/>
    <row r="4304" ht="15" customHeight="1" x14ac:dyDescent="0.25"/>
    <row r="4305" ht="15" customHeight="1" x14ac:dyDescent="0.25"/>
    <row r="4306" ht="15" customHeight="1" x14ac:dyDescent="0.25"/>
    <row r="4307" ht="15" customHeight="1" x14ac:dyDescent="0.25"/>
    <row r="4308" ht="15" customHeight="1" x14ac:dyDescent="0.25"/>
    <row r="4309" ht="15" customHeight="1" x14ac:dyDescent="0.25"/>
    <row r="4310" ht="15" customHeight="1" x14ac:dyDescent="0.25"/>
    <row r="4311" ht="15" customHeight="1" x14ac:dyDescent="0.25"/>
    <row r="4312" ht="15" customHeight="1" x14ac:dyDescent="0.25"/>
    <row r="4313" ht="15" customHeight="1" x14ac:dyDescent="0.25"/>
    <row r="4314" ht="15" customHeight="1" x14ac:dyDescent="0.25"/>
    <row r="4315" ht="15" customHeight="1" x14ac:dyDescent="0.25"/>
    <row r="4316" ht="15" customHeight="1" x14ac:dyDescent="0.25"/>
    <row r="4317" ht="15" customHeight="1" x14ac:dyDescent="0.25"/>
    <row r="4318" ht="15" customHeight="1" x14ac:dyDescent="0.25"/>
    <row r="4319" ht="15" customHeight="1" x14ac:dyDescent="0.25"/>
    <row r="4320" ht="15" customHeight="1" x14ac:dyDescent="0.25"/>
    <row r="4321" ht="15" customHeight="1" x14ac:dyDescent="0.25"/>
    <row r="4322" ht="15" customHeight="1" x14ac:dyDescent="0.25"/>
    <row r="4323" ht="15" customHeight="1" x14ac:dyDescent="0.25"/>
    <row r="4324" ht="15" customHeight="1" x14ac:dyDescent="0.25"/>
    <row r="4325" ht="15" customHeight="1" x14ac:dyDescent="0.25"/>
    <row r="4326" ht="15" customHeight="1" x14ac:dyDescent="0.25"/>
    <row r="4327" ht="15" customHeight="1" x14ac:dyDescent="0.25"/>
    <row r="4328" ht="15" customHeight="1" x14ac:dyDescent="0.25"/>
    <row r="4329" ht="15" customHeight="1" x14ac:dyDescent="0.25"/>
    <row r="4330" ht="15" customHeight="1" x14ac:dyDescent="0.25"/>
    <row r="4331" ht="15" customHeight="1" x14ac:dyDescent="0.25"/>
    <row r="4332" ht="15" customHeight="1" x14ac:dyDescent="0.25"/>
    <row r="4333" ht="15" customHeight="1" x14ac:dyDescent="0.25"/>
    <row r="4334" ht="15" customHeight="1" x14ac:dyDescent="0.25"/>
    <row r="4335" ht="15" customHeight="1" x14ac:dyDescent="0.25"/>
    <row r="4336" ht="15" customHeight="1" x14ac:dyDescent="0.25"/>
    <row r="4337" ht="15" customHeight="1" x14ac:dyDescent="0.25"/>
    <row r="4338" ht="15" customHeight="1" x14ac:dyDescent="0.25"/>
    <row r="4339" ht="15" customHeight="1" x14ac:dyDescent="0.25"/>
    <row r="4340" ht="15" customHeight="1" x14ac:dyDescent="0.25"/>
    <row r="4341" ht="15" customHeight="1" x14ac:dyDescent="0.25"/>
    <row r="4342" ht="15" customHeight="1" x14ac:dyDescent="0.25"/>
    <row r="4343" ht="15" customHeight="1" x14ac:dyDescent="0.25"/>
    <row r="4344" ht="15" customHeight="1" x14ac:dyDescent="0.25"/>
    <row r="4345" ht="15" customHeight="1" x14ac:dyDescent="0.25"/>
    <row r="4346" ht="15" customHeight="1" x14ac:dyDescent="0.25"/>
    <row r="4347" ht="15" customHeight="1" x14ac:dyDescent="0.25"/>
    <row r="4348" ht="15" customHeight="1" x14ac:dyDescent="0.25"/>
    <row r="4349" ht="15" customHeight="1" x14ac:dyDescent="0.25"/>
    <row r="4350" ht="15" customHeight="1" x14ac:dyDescent="0.25"/>
    <row r="4351" ht="15" customHeight="1" x14ac:dyDescent="0.25"/>
    <row r="4352" ht="15" customHeight="1" x14ac:dyDescent="0.25"/>
    <row r="4353" ht="15" customHeight="1" x14ac:dyDescent="0.25"/>
    <row r="4354" ht="15" customHeight="1" x14ac:dyDescent="0.25"/>
    <row r="4355" ht="15" customHeight="1" x14ac:dyDescent="0.25"/>
    <row r="4356" ht="15" customHeight="1" x14ac:dyDescent="0.25"/>
    <row r="4357" ht="15" customHeight="1" x14ac:dyDescent="0.25"/>
    <row r="4358" ht="15" customHeight="1" x14ac:dyDescent="0.25"/>
    <row r="4359" ht="15" customHeight="1" x14ac:dyDescent="0.25"/>
    <row r="4360" ht="15" customHeight="1" x14ac:dyDescent="0.25"/>
    <row r="4361" ht="15" customHeight="1" x14ac:dyDescent="0.25"/>
    <row r="4362" ht="15" customHeight="1" x14ac:dyDescent="0.25"/>
    <row r="4363" ht="15" customHeight="1" x14ac:dyDescent="0.25"/>
    <row r="4364" ht="15" customHeight="1" x14ac:dyDescent="0.25"/>
    <row r="4365" ht="15" customHeight="1" x14ac:dyDescent="0.25"/>
    <row r="4366" ht="15" customHeight="1" x14ac:dyDescent="0.25"/>
    <row r="4367" ht="15" customHeight="1" x14ac:dyDescent="0.25"/>
    <row r="4368" ht="15" customHeight="1" x14ac:dyDescent="0.25"/>
    <row r="4369" ht="15" customHeight="1" x14ac:dyDescent="0.25"/>
    <row r="4370" ht="15" customHeight="1" x14ac:dyDescent="0.25"/>
    <row r="4371" ht="15" customHeight="1" x14ac:dyDescent="0.25"/>
    <row r="4372" ht="15" customHeight="1" x14ac:dyDescent="0.25"/>
    <row r="4373" ht="15" customHeight="1" x14ac:dyDescent="0.25"/>
    <row r="4374" ht="15" customHeight="1" x14ac:dyDescent="0.25"/>
    <row r="4375" ht="15" customHeight="1" x14ac:dyDescent="0.25"/>
    <row r="4376" ht="15" customHeight="1" x14ac:dyDescent="0.25"/>
    <row r="4377" ht="15" customHeight="1" x14ac:dyDescent="0.25"/>
    <row r="4378" ht="15" customHeight="1" x14ac:dyDescent="0.25"/>
    <row r="4379" ht="15" customHeight="1" x14ac:dyDescent="0.25"/>
    <row r="4380" ht="15" customHeight="1" x14ac:dyDescent="0.25"/>
    <row r="4381" ht="15" customHeight="1" x14ac:dyDescent="0.25"/>
    <row r="4382" ht="15" customHeight="1" x14ac:dyDescent="0.25"/>
    <row r="4383" ht="15" customHeight="1" x14ac:dyDescent="0.25"/>
    <row r="4384" ht="15" customHeight="1" x14ac:dyDescent="0.25"/>
    <row r="4385" ht="15" customHeight="1" x14ac:dyDescent="0.25"/>
    <row r="4386" ht="15" customHeight="1" x14ac:dyDescent="0.25"/>
    <row r="4387" ht="15" customHeight="1" x14ac:dyDescent="0.25"/>
    <row r="4388" ht="15" customHeight="1" x14ac:dyDescent="0.25"/>
    <row r="4389" ht="15" customHeight="1" x14ac:dyDescent="0.25"/>
    <row r="4390" ht="15" customHeight="1" x14ac:dyDescent="0.25"/>
    <row r="4391" ht="15" customHeight="1" x14ac:dyDescent="0.25"/>
    <row r="4392" ht="15" customHeight="1" x14ac:dyDescent="0.25"/>
    <row r="4393" ht="15" customHeight="1" x14ac:dyDescent="0.25"/>
    <row r="4394" ht="15" customHeight="1" x14ac:dyDescent="0.25"/>
    <row r="4395" ht="15" customHeight="1" x14ac:dyDescent="0.25"/>
    <row r="4396" ht="15" customHeight="1" x14ac:dyDescent="0.25"/>
    <row r="4397" ht="15" customHeight="1" x14ac:dyDescent="0.25"/>
    <row r="4398" ht="15" customHeight="1" x14ac:dyDescent="0.25"/>
    <row r="4399" ht="15" customHeight="1" x14ac:dyDescent="0.25"/>
    <row r="4400" ht="15" customHeight="1" x14ac:dyDescent="0.25"/>
    <row r="4401" ht="15" customHeight="1" x14ac:dyDescent="0.25"/>
    <row r="4402" ht="15" customHeight="1" x14ac:dyDescent="0.25"/>
    <row r="4403" ht="15" customHeight="1" x14ac:dyDescent="0.25"/>
    <row r="4404" ht="15" customHeight="1" x14ac:dyDescent="0.25"/>
    <row r="4405" ht="15" customHeight="1" x14ac:dyDescent="0.25"/>
    <row r="4406" ht="15" customHeight="1" x14ac:dyDescent="0.25"/>
    <row r="4407" ht="15" customHeight="1" x14ac:dyDescent="0.25"/>
    <row r="4408" ht="15" customHeight="1" x14ac:dyDescent="0.25"/>
    <row r="4409" ht="15" customHeight="1" x14ac:dyDescent="0.25"/>
    <row r="4410" ht="15" customHeight="1" x14ac:dyDescent="0.25"/>
    <row r="4411" ht="15" customHeight="1" x14ac:dyDescent="0.25"/>
    <row r="4412" ht="15" customHeight="1" x14ac:dyDescent="0.25"/>
    <row r="4413" ht="15" customHeight="1" x14ac:dyDescent="0.25"/>
    <row r="4414" ht="15" customHeight="1" x14ac:dyDescent="0.25"/>
    <row r="4415" ht="15" customHeight="1" x14ac:dyDescent="0.25"/>
    <row r="4416" ht="15" customHeight="1" x14ac:dyDescent="0.25"/>
    <row r="4417" ht="15" customHeight="1" x14ac:dyDescent="0.25"/>
    <row r="4418" ht="15" customHeight="1" x14ac:dyDescent="0.25"/>
    <row r="4419" ht="15" customHeight="1" x14ac:dyDescent="0.25"/>
    <row r="4420" ht="15" customHeight="1" x14ac:dyDescent="0.25"/>
    <row r="4421" ht="15" customHeight="1" x14ac:dyDescent="0.25"/>
    <row r="4422" ht="15" customHeight="1" x14ac:dyDescent="0.25"/>
    <row r="4423" ht="15" customHeight="1" x14ac:dyDescent="0.25"/>
    <row r="4424" ht="15" customHeight="1" x14ac:dyDescent="0.25"/>
    <row r="4425" ht="15" customHeight="1" x14ac:dyDescent="0.25"/>
    <row r="4426" ht="15" customHeight="1" x14ac:dyDescent="0.25"/>
    <row r="4427" ht="15" customHeight="1" x14ac:dyDescent="0.25"/>
    <row r="4428" ht="15" customHeight="1" x14ac:dyDescent="0.25"/>
    <row r="4429" ht="15" customHeight="1" x14ac:dyDescent="0.25"/>
    <row r="4430" ht="15" customHeight="1" x14ac:dyDescent="0.25"/>
    <row r="4431" ht="15" customHeight="1" x14ac:dyDescent="0.25"/>
    <row r="4432" ht="15" customHeight="1" x14ac:dyDescent="0.25"/>
    <row r="4433" ht="15" customHeight="1" x14ac:dyDescent="0.25"/>
    <row r="4434" ht="15" customHeight="1" x14ac:dyDescent="0.25"/>
    <row r="4435" ht="15" customHeight="1" x14ac:dyDescent="0.25"/>
    <row r="4436" ht="15" customHeight="1" x14ac:dyDescent="0.25"/>
    <row r="4437" ht="15" customHeight="1" x14ac:dyDescent="0.25"/>
    <row r="4438" ht="15" customHeight="1" x14ac:dyDescent="0.25"/>
    <row r="4439" ht="15" customHeight="1" x14ac:dyDescent="0.25"/>
    <row r="4440" ht="15" customHeight="1" x14ac:dyDescent="0.25"/>
    <row r="4441" ht="15" customHeight="1" x14ac:dyDescent="0.25"/>
    <row r="4442" ht="15" customHeight="1" x14ac:dyDescent="0.25"/>
    <row r="4443" ht="15" customHeight="1" x14ac:dyDescent="0.25"/>
    <row r="4444" ht="15" customHeight="1" x14ac:dyDescent="0.25"/>
    <row r="4445" ht="15" customHeight="1" x14ac:dyDescent="0.25"/>
    <row r="4446" ht="15" customHeight="1" x14ac:dyDescent="0.25"/>
    <row r="4447" ht="15" customHeight="1" x14ac:dyDescent="0.25"/>
    <row r="4448" ht="15" customHeight="1" x14ac:dyDescent="0.25"/>
    <row r="4449" ht="15" customHeight="1" x14ac:dyDescent="0.25"/>
    <row r="4450" ht="15" customHeight="1" x14ac:dyDescent="0.25"/>
    <row r="4451" ht="15" customHeight="1" x14ac:dyDescent="0.25"/>
    <row r="4452" ht="15" customHeight="1" x14ac:dyDescent="0.25"/>
    <row r="4453" ht="15" customHeight="1" x14ac:dyDescent="0.25"/>
    <row r="4454" ht="15" customHeight="1" x14ac:dyDescent="0.25"/>
    <row r="4455" ht="15" customHeight="1" x14ac:dyDescent="0.25"/>
    <row r="4456" ht="15" customHeight="1" x14ac:dyDescent="0.25"/>
    <row r="4457" ht="15" customHeight="1" x14ac:dyDescent="0.25"/>
    <row r="4458" ht="15" customHeight="1" x14ac:dyDescent="0.25"/>
    <row r="4459" ht="15" customHeight="1" x14ac:dyDescent="0.25"/>
    <row r="4460" ht="15" customHeight="1" x14ac:dyDescent="0.25"/>
    <row r="4461" ht="15" customHeight="1" x14ac:dyDescent="0.25"/>
    <row r="4462" ht="15" customHeight="1" x14ac:dyDescent="0.25"/>
    <row r="4463" ht="15" customHeight="1" x14ac:dyDescent="0.25"/>
    <row r="4464" ht="15" customHeight="1" x14ac:dyDescent="0.25"/>
    <row r="4465" ht="15" customHeight="1" x14ac:dyDescent="0.25"/>
    <row r="4466" ht="15" customHeight="1" x14ac:dyDescent="0.25"/>
    <row r="4467" ht="15" customHeight="1" x14ac:dyDescent="0.25"/>
    <row r="4468" ht="15" customHeight="1" x14ac:dyDescent="0.25"/>
    <row r="4469" ht="15" customHeight="1" x14ac:dyDescent="0.25"/>
    <row r="4470" ht="15" customHeight="1" x14ac:dyDescent="0.25"/>
    <row r="4471" ht="15" customHeight="1" x14ac:dyDescent="0.25"/>
    <row r="4472" ht="15" customHeight="1" x14ac:dyDescent="0.25"/>
    <row r="4473" ht="15" customHeight="1" x14ac:dyDescent="0.25"/>
    <row r="4474" ht="15" customHeight="1" x14ac:dyDescent="0.25"/>
    <row r="4475" ht="15" customHeight="1" x14ac:dyDescent="0.25"/>
    <row r="4476" ht="15" customHeight="1" x14ac:dyDescent="0.25"/>
    <row r="4477" ht="15" customHeight="1" x14ac:dyDescent="0.25"/>
    <row r="4478" ht="15" customHeight="1" x14ac:dyDescent="0.25"/>
    <row r="4479" ht="15" customHeight="1" x14ac:dyDescent="0.25"/>
    <row r="4480" ht="15" customHeight="1" x14ac:dyDescent="0.25"/>
    <row r="4481" ht="15" customHeight="1" x14ac:dyDescent="0.25"/>
    <row r="4482" ht="15" customHeight="1" x14ac:dyDescent="0.25"/>
    <row r="4483" ht="15" customHeight="1" x14ac:dyDescent="0.25"/>
    <row r="4484" ht="15" customHeight="1" x14ac:dyDescent="0.25"/>
    <row r="4485" ht="15" customHeight="1" x14ac:dyDescent="0.25"/>
    <row r="4486" ht="15" customHeight="1" x14ac:dyDescent="0.25"/>
    <row r="4487" ht="15" customHeight="1" x14ac:dyDescent="0.25"/>
    <row r="4488" ht="15" customHeight="1" x14ac:dyDescent="0.25"/>
    <row r="4489" ht="15" customHeight="1" x14ac:dyDescent="0.25"/>
    <row r="4490" ht="15" customHeight="1" x14ac:dyDescent="0.25"/>
    <row r="4491" ht="15" customHeight="1" x14ac:dyDescent="0.25"/>
    <row r="4492" ht="15" customHeight="1" x14ac:dyDescent="0.25"/>
    <row r="4493" ht="15" customHeight="1" x14ac:dyDescent="0.25"/>
    <row r="4494" ht="15" customHeight="1" x14ac:dyDescent="0.25"/>
    <row r="4495" ht="15" customHeight="1" x14ac:dyDescent="0.25"/>
    <row r="4496" ht="15" customHeight="1" x14ac:dyDescent="0.25"/>
    <row r="4497" ht="15" customHeight="1" x14ac:dyDescent="0.25"/>
    <row r="4498" ht="15" customHeight="1" x14ac:dyDescent="0.25"/>
    <row r="4499" ht="15" customHeight="1" x14ac:dyDescent="0.25"/>
    <row r="4500" ht="15" customHeight="1" x14ac:dyDescent="0.25"/>
    <row r="4501" ht="15" customHeight="1" x14ac:dyDescent="0.25"/>
    <row r="4502" ht="15" customHeight="1" x14ac:dyDescent="0.25"/>
    <row r="4503" ht="15" customHeight="1" x14ac:dyDescent="0.25"/>
    <row r="4504" ht="15" customHeight="1" x14ac:dyDescent="0.25"/>
    <row r="4505" ht="15" customHeight="1" x14ac:dyDescent="0.25"/>
    <row r="4506" ht="15" customHeight="1" x14ac:dyDescent="0.25"/>
    <row r="4507" ht="15" customHeight="1" x14ac:dyDescent="0.25"/>
    <row r="4508" ht="15" customHeight="1" x14ac:dyDescent="0.25"/>
    <row r="4509" ht="15" customHeight="1" x14ac:dyDescent="0.25"/>
    <row r="4510" ht="15" customHeight="1" x14ac:dyDescent="0.25"/>
    <row r="4511" ht="15" customHeight="1" x14ac:dyDescent="0.25"/>
    <row r="4512" ht="15" customHeight="1" x14ac:dyDescent="0.25"/>
    <row r="4513" ht="15" customHeight="1" x14ac:dyDescent="0.25"/>
    <row r="4514" ht="15" customHeight="1" x14ac:dyDescent="0.25"/>
    <row r="4515" ht="15" customHeight="1" x14ac:dyDescent="0.25"/>
    <row r="4516" ht="15" customHeight="1" x14ac:dyDescent="0.25"/>
    <row r="4517" ht="15" customHeight="1" x14ac:dyDescent="0.25"/>
    <row r="4518" ht="15" customHeight="1" x14ac:dyDescent="0.25"/>
    <row r="4519" ht="15" customHeight="1" x14ac:dyDescent="0.25"/>
    <row r="4520" ht="15" customHeight="1" x14ac:dyDescent="0.25"/>
    <row r="4521" ht="15" customHeight="1" x14ac:dyDescent="0.25"/>
    <row r="4522" ht="15" customHeight="1" x14ac:dyDescent="0.25"/>
    <row r="4523" ht="15" customHeight="1" x14ac:dyDescent="0.25"/>
    <row r="4524" ht="15" customHeight="1" x14ac:dyDescent="0.25"/>
    <row r="4525" ht="15" customHeight="1" x14ac:dyDescent="0.25"/>
    <row r="4526" ht="15" customHeight="1" x14ac:dyDescent="0.25"/>
    <row r="4527" ht="15" customHeight="1" x14ac:dyDescent="0.25"/>
    <row r="4528" ht="15" customHeight="1" x14ac:dyDescent="0.25"/>
    <row r="4529" ht="15" customHeight="1" x14ac:dyDescent="0.25"/>
    <row r="4530" ht="15" customHeight="1" x14ac:dyDescent="0.25"/>
    <row r="4531" ht="15" customHeight="1" x14ac:dyDescent="0.25"/>
    <row r="4532" ht="15" customHeight="1" x14ac:dyDescent="0.25"/>
    <row r="4533" ht="15" customHeight="1" x14ac:dyDescent="0.25"/>
    <row r="4534" ht="15" customHeight="1" x14ac:dyDescent="0.25"/>
    <row r="4535" ht="15" customHeight="1" x14ac:dyDescent="0.25"/>
    <row r="4536" ht="15" customHeight="1" x14ac:dyDescent="0.25"/>
    <row r="4537" ht="15" customHeight="1" x14ac:dyDescent="0.25"/>
    <row r="4538" ht="15" customHeight="1" x14ac:dyDescent="0.25"/>
    <row r="4539" ht="15" customHeight="1" x14ac:dyDescent="0.25"/>
    <row r="4540" ht="15" customHeight="1" x14ac:dyDescent="0.25"/>
    <row r="4541" ht="15" customHeight="1" x14ac:dyDescent="0.25"/>
    <row r="4542" ht="15" customHeight="1" x14ac:dyDescent="0.25"/>
    <row r="4543" ht="15" customHeight="1" x14ac:dyDescent="0.25"/>
    <row r="4544" ht="15" customHeight="1" x14ac:dyDescent="0.25"/>
    <row r="4545" ht="15" customHeight="1" x14ac:dyDescent="0.25"/>
    <row r="4546" ht="15" customHeight="1" x14ac:dyDescent="0.25"/>
    <row r="4547" ht="15" customHeight="1" x14ac:dyDescent="0.25"/>
    <row r="4548" ht="15" customHeight="1" x14ac:dyDescent="0.25"/>
    <row r="4549" ht="15" customHeight="1" x14ac:dyDescent="0.25"/>
    <row r="4550" ht="15" customHeight="1" x14ac:dyDescent="0.25"/>
    <row r="4551" ht="15" customHeight="1" x14ac:dyDescent="0.25"/>
    <row r="4552" ht="15" customHeight="1" x14ac:dyDescent="0.25"/>
    <row r="4553" ht="15" customHeight="1" x14ac:dyDescent="0.25"/>
    <row r="4554" ht="15" customHeight="1" x14ac:dyDescent="0.25"/>
    <row r="4555" ht="15" customHeight="1" x14ac:dyDescent="0.25"/>
    <row r="4556" ht="15" customHeight="1" x14ac:dyDescent="0.25"/>
    <row r="4557" ht="15" customHeight="1" x14ac:dyDescent="0.25"/>
    <row r="4558" ht="15" customHeight="1" x14ac:dyDescent="0.25"/>
    <row r="4559" ht="15" customHeight="1" x14ac:dyDescent="0.25"/>
    <row r="4560" ht="15" customHeight="1" x14ac:dyDescent="0.25"/>
    <row r="4561" ht="15" customHeight="1" x14ac:dyDescent="0.25"/>
    <row r="4562" ht="15" customHeight="1" x14ac:dyDescent="0.25"/>
    <row r="4563" ht="15" customHeight="1" x14ac:dyDescent="0.25"/>
    <row r="4564" ht="15" customHeight="1" x14ac:dyDescent="0.25"/>
    <row r="4565" ht="15" customHeight="1" x14ac:dyDescent="0.25"/>
    <row r="4566" ht="15" customHeight="1" x14ac:dyDescent="0.25"/>
    <row r="4567" ht="15" customHeight="1" x14ac:dyDescent="0.25"/>
    <row r="4568" ht="15" customHeight="1" x14ac:dyDescent="0.25"/>
    <row r="4569" ht="15" customHeight="1" x14ac:dyDescent="0.25"/>
    <row r="4570" ht="15" customHeight="1" x14ac:dyDescent="0.25"/>
    <row r="4571" ht="15" customHeight="1" x14ac:dyDescent="0.25"/>
    <row r="4572" ht="15" customHeight="1" x14ac:dyDescent="0.25"/>
    <row r="4573" ht="15" customHeight="1" x14ac:dyDescent="0.25"/>
    <row r="4574" ht="15" customHeight="1" x14ac:dyDescent="0.25"/>
    <row r="4575" ht="15" customHeight="1" x14ac:dyDescent="0.25"/>
    <row r="4576" ht="15" customHeight="1" x14ac:dyDescent="0.25"/>
    <row r="4577" ht="15" customHeight="1" x14ac:dyDescent="0.25"/>
    <row r="4578" ht="15" customHeight="1" x14ac:dyDescent="0.25"/>
    <row r="4579" ht="15" customHeight="1" x14ac:dyDescent="0.25"/>
    <row r="4580" ht="15" customHeight="1" x14ac:dyDescent="0.25"/>
    <row r="4581" ht="15" customHeight="1" x14ac:dyDescent="0.25"/>
    <row r="4582" ht="15" customHeight="1" x14ac:dyDescent="0.25"/>
    <row r="4583" ht="15" customHeight="1" x14ac:dyDescent="0.25"/>
    <row r="4584" ht="15" customHeight="1" x14ac:dyDescent="0.25"/>
    <row r="4585" ht="15" customHeight="1" x14ac:dyDescent="0.25"/>
    <row r="4586" ht="15" customHeight="1" x14ac:dyDescent="0.25"/>
    <row r="4587" ht="15" customHeight="1" x14ac:dyDescent="0.25"/>
    <row r="4588" ht="15" customHeight="1" x14ac:dyDescent="0.25"/>
    <row r="4589" ht="15" customHeight="1" x14ac:dyDescent="0.25"/>
    <row r="4590" ht="15" customHeight="1" x14ac:dyDescent="0.25"/>
    <row r="4591" ht="15" customHeight="1" x14ac:dyDescent="0.25"/>
    <row r="4592" ht="15" customHeight="1" x14ac:dyDescent="0.25"/>
    <row r="4593" ht="15" customHeight="1" x14ac:dyDescent="0.25"/>
    <row r="4594" ht="15" customHeight="1" x14ac:dyDescent="0.25"/>
    <row r="4595" ht="15" customHeight="1" x14ac:dyDescent="0.25"/>
    <row r="4596" ht="15" customHeight="1" x14ac:dyDescent="0.25"/>
    <row r="4597" ht="15" customHeight="1" x14ac:dyDescent="0.25"/>
    <row r="4598" ht="15" customHeight="1" x14ac:dyDescent="0.25"/>
    <row r="4599" ht="15" customHeight="1" x14ac:dyDescent="0.25"/>
    <row r="4600" ht="15" customHeight="1" x14ac:dyDescent="0.25"/>
    <row r="4601" ht="15" customHeight="1" x14ac:dyDescent="0.25"/>
    <row r="4602" ht="15" customHeight="1" x14ac:dyDescent="0.25"/>
    <row r="4603" ht="15" customHeight="1" x14ac:dyDescent="0.25"/>
    <row r="4604" ht="15" customHeight="1" x14ac:dyDescent="0.25"/>
    <row r="4605" ht="15" customHeight="1" x14ac:dyDescent="0.25"/>
    <row r="4606" ht="15" customHeight="1" x14ac:dyDescent="0.25"/>
    <row r="4607" ht="15" customHeight="1" x14ac:dyDescent="0.25"/>
    <row r="4608" ht="15" customHeight="1" x14ac:dyDescent="0.25"/>
    <row r="4609" ht="15" customHeight="1" x14ac:dyDescent="0.25"/>
    <row r="4610" ht="15" customHeight="1" x14ac:dyDescent="0.25"/>
    <row r="4611" ht="15" customHeight="1" x14ac:dyDescent="0.25"/>
    <row r="4612" ht="15" customHeight="1" x14ac:dyDescent="0.25"/>
    <row r="4613" ht="15" customHeight="1" x14ac:dyDescent="0.25"/>
    <row r="4614" ht="15" customHeight="1" x14ac:dyDescent="0.25"/>
    <row r="4615" ht="15" customHeight="1" x14ac:dyDescent="0.25"/>
    <row r="4616" ht="15" customHeight="1" x14ac:dyDescent="0.25"/>
    <row r="4617" ht="15" customHeight="1" x14ac:dyDescent="0.25"/>
    <row r="4618" ht="15" customHeight="1" x14ac:dyDescent="0.25"/>
    <row r="4619" ht="15" customHeight="1" x14ac:dyDescent="0.25"/>
    <row r="4620" ht="15" customHeight="1" x14ac:dyDescent="0.25"/>
    <row r="4621" ht="15" customHeight="1" x14ac:dyDescent="0.25"/>
    <row r="4622" ht="15" customHeight="1" x14ac:dyDescent="0.25"/>
    <row r="4623" ht="15" customHeight="1" x14ac:dyDescent="0.25"/>
    <row r="4624" ht="15" customHeight="1" x14ac:dyDescent="0.25"/>
    <row r="4625" ht="15" customHeight="1" x14ac:dyDescent="0.25"/>
    <row r="4626" ht="15" customHeight="1" x14ac:dyDescent="0.25"/>
    <row r="4627" ht="15" customHeight="1" x14ac:dyDescent="0.25"/>
    <row r="4628" ht="15" customHeight="1" x14ac:dyDescent="0.25"/>
    <row r="4629" ht="15" customHeight="1" x14ac:dyDescent="0.25"/>
    <row r="4630" ht="15" customHeight="1" x14ac:dyDescent="0.25"/>
    <row r="4631" ht="15" customHeight="1" x14ac:dyDescent="0.25"/>
    <row r="4632" ht="15" customHeight="1" x14ac:dyDescent="0.25"/>
    <row r="4633" ht="15" customHeight="1" x14ac:dyDescent="0.25"/>
    <row r="4634" ht="15" customHeight="1" x14ac:dyDescent="0.25"/>
    <row r="4635" ht="15" customHeight="1" x14ac:dyDescent="0.25"/>
    <row r="4636" ht="15" customHeight="1" x14ac:dyDescent="0.25"/>
    <row r="4637" ht="15" customHeight="1" x14ac:dyDescent="0.25"/>
    <row r="4638" ht="15" customHeight="1" x14ac:dyDescent="0.25"/>
    <row r="4639" ht="15" customHeight="1" x14ac:dyDescent="0.25"/>
    <row r="4640" ht="15" customHeight="1" x14ac:dyDescent="0.25"/>
    <row r="4641" ht="15" customHeight="1" x14ac:dyDescent="0.25"/>
    <row r="4642" ht="15" customHeight="1" x14ac:dyDescent="0.25"/>
    <row r="4643" ht="15" customHeight="1" x14ac:dyDescent="0.25"/>
    <row r="4644" ht="15" customHeight="1" x14ac:dyDescent="0.25"/>
    <row r="4645" ht="15" customHeight="1" x14ac:dyDescent="0.25"/>
    <row r="4646" ht="15" customHeight="1" x14ac:dyDescent="0.25"/>
    <row r="4647" ht="15" customHeight="1" x14ac:dyDescent="0.25"/>
    <row r="4648" ht="15" customHeight="1" x14ac:dyDescent="0.25"/>
    <row r="4649" ht="15" customHeight="1" x14ac:dyDescent="0.25"/>
    <row r="4650" ht="15" customHeight="1" x14ac:dyDescent="0.25"/>
    <row r="4651" ht="15" customHeight="1" x14ac:dyDescent="0.25"/>
    <row r="4652" ht="15" customHeight="1" x14ac:dyDescent="0.25"/>
    <row r="4653" ht="15" customHeight="1" x14ac:dyDescent="0.25"/>
    <row r="4654" ht="15" customHeight="1" x14ac:dyDescent="0.25"/>
    <row r="4655" ht="15" customHeight="1" x14ac:dyDescent="0.25"/>
    <row r="4656" ht="15" customHeight="1" x14ac:dyDescent="0.25"/>
    <row r="4657" ht="15" customHeight="1" x14ac:dyDescent="0.25"/>
    <row r="4658" ht="15" customHeight="1" x14ac:dyDescent="0.25"/>
    <row r="4659" ht="15" customHeight="1" x14ac:dyDescent="0.25"/>
    <row r="4660" ht="15" customHeight="1" x14ac:dyDescent="0.25"/>
    <row r="4661" ht="15" customHeight="1" x14ac:dyDescent="0.25"/>
    <row r="4662" ht="15" customHeight="1" x14ac:dyDescent="0.25"/>
    <row r="4663" ht="15" customHeight="1" x14ac:dyDescent="0.25"/>
    <row r="4664" ht="15" customHeight="1" x14ac:dyDescent="0.25"/>
    <row r="4665" ht="15" customHeight="1" x14ac:dyDescent="0.25"/>
    <row r="4666" ht="15" customHeight="1" x14ac:dyDescent="0.25"/>
    <row r="4667" ht="15" customHeight="1" x14ac:dyDescent="0.25"/>
    <row r="4668" ht="15" customHeight="1" x14ac:dyDescent="0.25"/>
    <row r="4669" ht="15" customHeight="1" x14ac:dyDescent="0.25"/>
    <row r="4670" ht="15" customHeight="1" x14ac:dyDescent="0.25"/>
    <row r="4671" ht="15" customHeight="1" x14ac:dyDescent="0.25"/>
    <row r="4672" ht="15" customHeight="1" x14ac:dyDescent="0.25"/>
    <row r="4673" ht="15" customHeight="1" x14ac:dyDescent="0.25"/>
    <row r="4674" ht="15" customHeight="1" x14ac:dyDescent="0.25"/>
    <row r="4675" ht="15" customHeight="1" x14ac:dyDescent="0.25"/>
    <row r="4676" ht="15" customHeight="1" x14ac:dyDescent="0.25"/>
    <row r="4677" ht="15" customHeight="1" x14ac:dyDescent="0.25"/>
    <row r="4678" ht="15" customHeight="1" x14ac:dyDescent="0.25"/>
    <row r="4679" ht="15" customHeight="1" x14ac:dyDescent="0.25"/>
    <row r="4680" ht="15" customHeight="1" x14ac:dyDescent="0.25"/>
    <row r="4681" ht="15" customHeight="1" x14ac:dyDescent="0.25"/>
    <row r="4682" ht="15" customHeight="1" x14ac:dyDescent="0.25"/>
    <row r="4683" ht="15" customHeight="1" x14ac:dyDescent="0.25"/>
    <row r="4684" ht="15" customHeight="1" x14ac:dyDescent="0.25"/>
    <row r="4685" ht="15" customHeight="1" x14ac:dyDescent="0.25"/>
    <row r="4686" ht="15" customHeight="1" x14ac:dyDescent="0.25"/>
    <row r="4687" ht="15" customHeight="1" x14ac:dyDescent="0.25"/>
    <row r="4688" ht="15" customHeight="1" x14ac:dyDescent="0.25"/>
    <row r="4689" ht="15" customHeight="1" x14ac:dyDescent="0.25"/>
    <row r="4690" ht="15" customHeight="1" x14ac:dyDescent="0.25"/>
    <row r="4691" ht="15" customHeight="1" x14ac:dyDescent="0.25"/>
    <row r="4692" ht="15" customHeight="1" x14ac:dyDescent="0.25"/>
    <row r="4693" ht="15" customHeight="1" x14ac:dyDescent="0.25"/>
    <row r="4694" ht="15" customHeight="1" x14ac:dyDescent="0.25"/>
    <row r="4695" ht="15" customHeight="1" x14ac:dyDescent="0.25"/>
    <row r="4696" ht="15" customHeight="1" x14ac:dyDescent="0.25"/>
    <row r="4697" ht="15" customHeight="1" x14ac:dyDescent="0.25"/>
    <row r="4698" ht="15" customHeight="1" x14ac:dyDescent="0.25"/>
    <row r="4699" ht="15" customHeight="1" x14ac:dyDescent="0.25"/>
    <row r="4700" ht="15" customHeight="1" x14ac:dyDescent="0.25"/>
    <row r="4701" ht="15" customHeight="1" x14ac:dyDescent="0.25"/>
    <row r="4702" ht="15" customHeight="1" x14ac:dyDescent="0.25"/>
    <row r="4703" ht="15" customHeight="1" x14ac:dyDescent="0.25"/>
    <row r="4704" ht="15" customHeight="1" x14ac:dyDescent="0.25"/>
    <row r="4705" ht="15" customHeight="1" x14ac:dyDescent="0.25"/>
    <row r="4706" ht="15" customHeight="1" x14ac:dyDescent="0.25"/>
    <row r="4707" ht="15" customHeight="1" x14ac:dyDescent="0.25"/>
    <row r="4708" ht="15" customHeight="1" x14ac:dyDescent="0.25"/>
    <row r="4709" ht="15" customHeight="1" x14ac:dyDescent="0.25"/>
    <row r="4710" ht="15" customHeight="1" x14ac:dyDescent="0.25"/>
    <row r="4711" ht="15" customHeight="1" x14ac:dyDescent="0.25"/>
    <row r="4712" ht="15" customHeight="1" x14ac:dyDescent="0.25"/>
    <row r="4713" ht="15" customHeight="1" x14ac:dyDescent="0.25"/>
    <row r="4714" ht="15" customHeight="1" x14ac:dyDescent="0.25"/>
    <row r="4715" ht="15" customHeight="1" x14ac:dyDescent="0.25"/>
    <row r="4716" ht="15" customHeight="1" x14ac:dyDescent="0.25"/>
    <row r="4717" ht="15" customHeight="1" x14ac:dyDescent="0.25"/>
    <row r="4718" ht="15" customHeight="1" x14ac:dyDescent="0.25"/>
    <row r="4719" ht="15" customHeight="1" x14ac:dyDescent="0.25"/>
    <row r="4720" ht="15" customHeight="1" x14ac:dyDescent="0.25"/>
    <row r="4721" ht="15" customHeight="1" x14ac:dyDescent="0.25"/>
    <row r="4722" ht="15" customHeight="1" x14ac:dyDescent="0.25"/>
    <row r="4723" ht="15" customHeight="1" x14ac:dyDescent="0.25"/>
    <row r="4724" ht="15" customHeight="1" x14ac:dyDescent="0.25"/>
    <row r="4725" ht="15" customHeight="1" x14ac:dyDescent="0.25"/>
    <row r="4726" ht="15" customHeight="1" x14ac:dyDescent="0.25"/>
    <row r="4727" ht="15" customHeight="1" x14ac:dyDescent="0.25"/>
    <row r="4728" ht="15" customHeight="1" x14ac:dyDescent="0.25"/>
    <row r="4729" ht="15" customHeight="1" x14ac:dyDescent="0.25"/>
    <row r="4730" ht="15" customHeight="1" x14ac:dyDescent="0.25"/>
    <row r="4731" ht="15" customHeight="1" x14ac:dyDescent="0.25"/>
    <row r="4732" ht="15" customHeight="1" x14ac:dyDescent="0.25"/>
    <row r="4733" ht="15" customHeight="1" x14ac:dyDescent="0.25"/>
    <row r="4734" ht="15" customHeight="1" x14ac:dyDescent="0.25"/>
    <row r="4735" ht="15" customHeight="1" x14ac:dyDescent="0.25"/>
    <row r="4736" ht="15" customHeight="1" x14ac:dyDescent="0.25"/>
    <row r="4737" ht="15" customHeight="1" x14ac:dyDescent="0.25"/>
    <row r="4738" ht="15" customHeight="1" x14ac:dyDescent="0.25"/>
    <row r="4739" ht="15" customHeight="1" x14ac:dyDescent="0.25"/>
    <row r="4740" ht="15" customHeight="1" x14ac:dyDescent="0.25"/>
    <row r="4741" ht="15" customHeight="1" x14ac:dyDescent="0.25"/>
    <row r="4742" ht="15" customHeight="1" x14ac:dyDescent="0.25"/>
    <row r="4743" ht="15" customHeight="1" x14ac:dyDescent="0.25"/>
    <row r="4744" ht="15" customHeight="1" x14ac:dyDescent="0.25"/>
    <row r="4745" ht="15" customHeight="1" x14ac:dyDescent="0.25"/>
    <row r="4746" ht="15" customHeight="1" x14ac:dyDescent="0.25"/>
    <row r="4747" ht="15" customHeight="1" x14ac:dyDescent="0.25"/>
    <row r="4748" ht="15" customHeight="1" x14ac:dyDescent="0.25"/>
    <row r="4749" ht="15" customHeight="1" x14ac:dyDescent="0.25"/>
    <row r="4750" ht="15" customHeight="1" x14ac:dyDescent="0.25"/>
    <row r="4751" ht="15" customHeight="1" x14ac:dyDescent="0.25"/>
    <row r="4752" ht="15" customHeight="1" x14ac:dyDescent="0.25"/>
    <row r="4753" ht="15" customHeight="1" x14ac:dyDescent="0.25"/>
    <row r="4754" ht="15" customHeight="1" x14ac:dyDescent="0.25"/>
    <row r="4755" ht="15" customHeight="1" x14ac:dyDescent="0.25"/>
    <row r="4756" ht="15" customHeight="1" x14ac:dyDescent="0.25"/>
    <row r="4757" ht="15" customHeight="1" x14ac:dyDescent="0.25"/>
    <row r="4758" ht="15" customHeight="1" x14ac:dyDescent="0.25"/>
    <row r="4759" ht="15" customHeight="1" x14ac:dyDescent="0.25"/>
    <row r="4760" ht="15" customHeight="1" x14ac:dyDescent="0.25"/>
    <row r="4761" ht="15" customHeight="1" x14ac:dyDescent="0.25"/>
    <row r="4762" ht="15" customHeight="1" x14ac:dyDescent="0.25"/>
    <row r="4763" ht="15" customHeight="1" x14ac:dyDescent="0.25"/>
    <row r="4764" ht="15" customHeight="1" x14ac:dyDescent="0.25"/>
    <row r="4765" ht="15" customHeight="1" x14ac:dyDescent="0.25"/>
    <row r="4766" ht="15" customHeight="1" x14ac:dyDescent="0.25"/>
    <row r="4767" ht="15" customHeight="1" x14ac:dyDescent="0.25"/>
    <row r="4768" ht="15" customHeight="1" x14ac:dyDescent="0.25"/>
    <row r="4769" ht="15" customHeight="1" x14ac:dyDescent="0.25"/>
    <row r="4770" ht="15" customHeight="1" x14ac:dyDescent="0.25"/>
    <row r="4771" ht="15" customHeight="1" x14ac:dyDescent="0.25"/>
    <row r="4772" ht="15" customHeight="1" x14ac:dyDescent="0.25"/>
    <row r="4773" ht="15" customHeight="1" x14ac:dyDescent="0.25"/>
    <row r="4774" ht="15" customHeight="1" x14ac:dyDescent="0.25"/>
    <row r="4775" ht="15" customHeight="1" x14ac:dyDescent="0.25"/>
    <row r="4776" ht="15" customHeight="1" x14ac:dyDescent="0.25"/>
    <row r="4777" ht="15" customHeight="1" x14ac:dyDescent="0.25"/>
    <row r="4778" ht="15" customHeight="1" x14ac:dyDescent="0.25"/>
    <row r="4779" ht="15" customHeight="1" x14ac:dyDescent="0.25"/>
    <row r="4780" ht="15" customHeight="1" x14ac:dyDescent="0.25"/>
    <row r="4781" ht="15" customHeight="1" x14ac:dyDescent="0.25"/>
    <row r="4782" ht="15" customHeight="1" x14ac:dyDescent="0.25"/>
    <row r="4783" ht="15" customHeight="1" x14ac:dyDescent="0.25"/>
    <row r="4784" ht="15" customHeight="1" x14ac:dyDescent="0.25"/>
    <row r="4785" ht="15" customHeight="1" x14ac:dyDescent="0.25"/>
    <row r="4786" ht="15" customHeight="1" x14ac:dyDescent="0.25"/>
    <row r="4787" ht="15" customHeight="1" x14ac:dyDescent="0.25"/>
    <row r="4788" ht="15" customHeight="1" x14ac:dyDescent="0.25"/>
    <row r="4789" ht="15" customHeight="1" x14ac:dyDescent="0.25"/>
    <row r="4790" ht="15" customHeight="1" x14ac:dyDescent="0.25"/>
    <row r="4791" ht="15" customHeight="1" x14ac:dyDescent="0.25"/>
    <row r="4792" ht="15" customHeight="1" x14ac:dyDescent="0.25"/>
    <row r="4793" ht="15" customHeight="1" x14ac:dyDescent="0.25"/>
    <row r="4794" ht="15" customHeight="1" x14ac:dyDescent="0.25"/>
    <row r="4795" ht="15" customHeight="1" x14ac:dyDescent="0.25"/>
    <row r="4796" ht="15" customHeight="1" x14ac:dyDescent="0.25"/>
    <row r="4797" ht="15" customHeight="1" x14ac:dyDescent="0.25"/>
    <row r="4798" ht="15" customHeight="1" x14ac:dyDescent="0.25"/>
    <row r="4799" ht="15" customHeight="1" x14ac:dyDescent="0.25"/>
    <row r="4800" ht="15" customHeight="1" x14ac:dyDescent="0.25"/>
    <row r="4801" ht="15" customHeight="1" x14ac:dyDescent="0.25"/>
    <row r="4802" ht="15" customHeight="1" x14ac:dyDescent="0.25"/>
    <row r="4803" ht="15" customHeight="1" x14ac:dyDescent="0.25"/>
    <row r="4804" ht="15" customHeight="1" x14ac:dyDescent="0.25"/>
    <row r="4805" ht="15" customHeight="1" x14ac:dyDescent="0.25"/>
    <row r="4806" ht="15" customHeight="1" x14ac:dyDescent="0.25"/>
    <row r="4807" ht="15" customHeight="1" x14ac:dyDescent="0.25"/>
    <row r="4808" ht="15" customHeight="1" x14ac:dyDescent="0.25"/>
    <row r="4809" ht="15" customHeight="1" x14ac:dyDescent="0.25"/>
    <row r="4810" ht="15" customHeight="1" x14ac:dyDescent="0.25"/>
    <row r="4811" ht="15" customHeight="1" x14ac:dyDescent="0.25"/>
    <row r="4812" ht="15" customHeight="1" x14ac:dyDescent="0.25"/>
    <row r="4813" ht="15" customHeight="1" x14ac:dyDescent="0.25"/>
    <row r="4814" ht="15" customHeight="1" x14ac:dyDescent="0.25"/>
    <row r="4815" ht="15" customHeight="1" x14ac:dyDescent="0.25"/>
    <row r="4816" ht="15" customHeight="1" x14ac:dyDescent="0.25"/>
    <row r="4817" ht="15" customHeight="1" x14ac:dyDescent="0.25"/>
    <row r="4818" ht="15" customHeight="1" x14ac:dyDescent="0.25"/>
    <row r="4819" ht="15" customHeight="1" x14ac:dyDescent="0.25"/>
    <row r="4820" ht="15" customHeight="1" x14ac:dyDescent="0.25"/>
    <row r="4821" ht="15" customHeight="1" x14ac:dyDescent="0.25"/>
    <row r="4822" ht="15" customHeight="1" x14ac:dyDescent="0.25"/>
    <row r="4823" ht="15" customHeight="1" x14ac:dyDescent="0.25"/>
    <row r="4824" ht="15" customHeight="1" x14ac:dyDescent="0.25"/>
    <row r="4825" ht="15" customHeight="1" x14ac:dyDescent="0.25"/>
    <row r="4826" ht="15" customHeight="1" x14ac:dyDescent="0.25"/>
    <row r="4827" ht="15" customHeight="1" x14ac:dyDescent="0.25"/>
    <row r="4828" ht="15" customHeight="1" x14ac:dyDescent="0.25"/>
    <row r="4829" ht="15" customHeight="1" x14ac:dyDescent="0.25"/>
    <row r="4830" ht="15" customHeight="1" x14ac:dyDescent="0.25"/>
    <row r="4831" ht="15" customHeight="1" x14ac:dyDescent="0.25"/>
    <row r="4832" ht="15" customHeight="1" x14ac:dyDescent="0.25"/>
    <row r="4833" ht="15" customHeight="1" x14ac:dyDescent="0.25"/>
    <row r="4834" ht="15" customHeight="1" x14ac:dyDescent="0.25"/>
    <row r="4835" ht="15" customHeight="1" x14ac:dyDescent="0.25"/>
    <row r="4836" ht="15" customHeight="1" x14ac:dyDescent="0.25"/>
    <row r="4837" ht="15" customHeight="1" x14ac:dyDescent="0.25"/>
    <row r="4838" ht="15" customHeight="1" x14ac:dyDescent="0.25"/>
    <row r="4839" ht="15" customHeight="1" x14ac:dyDescent="0.25"/>
    <row r="4840" ht="15" customHeight="1" x14ac:dyDescent="0.25"/>
    <row r="4841" ht="15" customHeight="1" x14ac:dyDescent="0.25"/>
    <row r="4842" ht="15" customHeight="1" x14ac:dyDescent="0.25"/>
    <row r="4843" ht="15" customHeight="1" x14ac:dyDescent="0.25"/>
    <row r="4844" ht="15" customHeight="1" x14ac:dyDescent="0.25"/>
    <row r="4845" ht="15" customHeight="1" x14ac:dyDescent="0.25"/>
    <row r="4846" ht="15" customHeight="1" x14ac:dyDescent="0.25"/>
    <row r="4847" ht="15" customHeight="1" x14ac:dyDescent="0.25"/>
    <row r="4848" ht="15" customHeight="1" x14ac:dyDescent="0.25"/>
    <row r="4849" ht="15" customHeight="1" x14ac:dyDescent="0.25"/>
    <row r="4850" ht="15" customHeight="1" x14ac:dyDescent="0.25"/>
    <row r="4851" ht="15" customHeight="1" x14ac:dyDescent="0.25"/>
    <row r="4852" ht="15" customHeight="1" x14ac:dyDescent="0.25"/>
    <row r="4853" ht="15" customHeight="1" x14ac:dyDescent="0.25"/>
    <row r="4854" ht="15" customHeight="1" x14ac:dyDescent="0.25"/>
    <row r="4855" ht="15" customHeight="1" x14ac:dyDescent="0.25"/>
    <row r="4856" ht="15" customHeight="1" x14ac:dyDescent="0.25"/>
    <row r="4857" ht="15" customHeight="1" x14ac:dyDescent="0.25"/>
    <row r="4858" ht="15" customHeight="1" x14ac:dyDescent="0.25"/>
    <row r="4859" ht="15" customHeight="1" x14ac:dyDescent="0.25"/>
    <row r="4860" ht="15" customHeight="1" x14ac:dyDescent="0.25"/>
    <row r="4861" ht="15" customHeight="1" x14ac:dyDescent="0.25"/>
    <row r="4862" ht="15" customHeight="1" x14ac:dyDescent="0.25"/>
    <row r="4863" ht="15" customHeight="1" x14ac:dyDescent="0.25"/>
    <row r="4864" ht="15" customHeight="1" x14ac:dyDescent="0.25"/>
    <row r="4865" ht="15" customHeight="1" x14ac:dyDescent="0.25"/>
    <row r="4866" ht="15" customHeight="1" x14ac:dyDescent="0.25"/>
    <row r="4867" ht="15" customHeight="1" x14ac:dyDescent="0.25"/>
    <row r="4868" ht="15" customHeight="1" x14ac:dyDescent="0.25"/>
    <row r="4869" ht="15" customHeight="1" x14ac:dyDescent="0.25"/>
    <row r="4870" ht="15" customHeight="1" x14ac:dyDescent="0.25"/>
    <row r="4871" ht="15" customHeight="1" x14ac:dyDescent="0.25"/>
    <row r="4872" ht="15" customHeight="1" x14ac:dyDescent="0.25"/>
    <row r="4873" ht="15" customHeight="1" x14ac:dyDescent="0.25"/>
    <row r="4874" ht="15" customHeight="1" x14ac:dyDescent="0.25"/>
    <row r="4875" ht="15" customHeight="1" x14ac:dyDescent="0.25"/>
    <row r="4876" ht="15" customHeight="1" x14ac:dyDescent="0.25"/>
    <row r="4877" ht="15" customHeight="1" x14ac:dyDescent="0.25"/>
    <row r="4878" ht="15" customHeight="1" x14ac:dyDescent="0.25"/>
    <row r="4879" ht="15" customHeight="1" x14ac:dyDescent="0.25"/>
    <row r="4880" ht="15" customHeight="1" x14ac:dyDescent="0.25"/>
    <row r="4881" ht="15" customHeight="1" x14ac:dyDescent="0.25"/>
    <row r="4882" ht="15" customHeight="1" x14ac:dyDescent="0.25"/>
    <row r="4883" ht="15" customHeight="1" x14ac:dyDescent="0.25"/>
    <row r="4884" ht="15" customHeight="1" x14ac:dyDescent="0.25"/>
    <row r="4885" ht="15" customHeight="1" x14ac:dyDescent="0.25"/>
    <row r="4886" ht="15" customHeight="1" x14ac:dyDescent="0.25"/>
    <row r="4887" ht="15" customHeight="1" x14ac:dyDescent="0.25"/>
    <row r="4888" ht="15" customHeight="1" x14ac:dyDescent="0.25"/>
    <row r="4889" ht="15" customHeight="1" x14ac:dyDescent="0.25"/>
    <row r="4890" ht="15" customHeight="1" x14ac:dyDescent="0.25"/>
    <row r="4891" ht="15" customHeight="1" x14ac:dyDescent="0.25"/>
    <row r="4892" ht="15" customHeight="1" x14ac:dyDescent="0.25"/>
    <row r="4893" ht="15" customHeight="1" x14ac:dyDescent="0.25"/>
    <row r="4894" ht="15" customHeight="1" x14ac:dyDescent="0.25"/>
    <row r="4895" ht="15" customHeight="1" x14ac:dyDescent="0.25"/>
    <row r="4896" ht="15" customHeight="1" x14ac:dyDescent="0.25"/>
    <row r="4897" ht="15" customHeight="1" x14ac:dyDescent="0.25"/>
    <row r="4898" ht="15" customHeight="1" x14ac:dyDescent="0.25"/>
    <row r="4899" ht="15" customHeight="1" x14ac:dyDescent="0.25"/>
    <row r="4900" ht="15" customHeight="1" x14ac:dyDescent="0.25"/>
    <row r="4901" ht="15" customHeight="1" x14ac:dyDescent="0.25"/>
    <row r="4902" ht="15" customHeight="1" x14ac:dyDescent="0.25"/>
    <row r="4903" ht="15" customHeight="1" x14ac:dyDescent="0.25"/>
    <row r="4904" ht="15" customHeight="1" x14ac:dyDescent="0.25"/>
    <row r="4905" ht="15" customHeight="1" x14ac:dyDescent="0.25"/>
    <row r="4906" ht="15" customHeight="1" x14ac:dyDescent="0.25"/>
    <row r="4907" ht="15" customHeight="1" x14ac:dyDescent="0.25"/>
    <row r="4908" ht="15" customHeight="1" x14ac:dyDescent="0.25"/>
    <row r="4909" ht="15" customHeight="1" x14ac:dyDescent="0.25"/>
    <row r="4910" ht="15" customHeight="1" x14ac:dyDescent="0.25"/>
    <row r="4911" ht="15" customHeight="1" x14ac:dyDescent="0.25"/>
    <row r="4912" ht="15" customHeight="1" x14ac:dyDescent="0.25"/>
    <row r="4913" ht="15" customHeight="1" x14ac:dyDescent="0.25"/>
    <row r="4914" ht="15" customHeight="1" x14ac:dyDescent="0.25"/>
    <row r="4915" ht="15" customHeight="1" x14ac:dyDescent="0.25"/>
    <row r="4916" ht="15" customHeight="1" x14ac:dyDescent="0.25"/>
    <row r="4917" ht="15" customHeight="1" x14ac:dyDescent="0.25"/>
    <row r="4918" ht="15" customHeight="1" x14ac:dyDescent="0.25"/>
    <row r="4919" ht="15" customHeight="1" x14ac:dyDescent="0.25"/>
    <row r="4920" ht="15" customHeight="1" x14ac:dyDescent="0.25"/>
    <row r="4921" ht="15" customHeight="1" x14ac:dyDescent="0.25"/>
    <row r="4922" ht="15" customHeight="1" x14ac:dyDescent="0.25"/>
    <row r="4923" ht="15" customHeight="1" x14ac:dyDescent="0.25"/>
    <row r="4924" ht="15" customHeight="1" x14ac:dyDescent="0.25"/>
    <row r="4925" ht="15" customHeight="1" x14ac:dyDescent="0.25"/>
    <row r="4926" ht="15" customHeight="1" x14ac:dyDescent="0.25"/>
    <row r="4927" ht="15" customHeight="1" x14ac:dyDescent="0.25"/>
    <row r="4928" ht="15" customHeight="1" x14ac:dyDescent="0.25"/>
    <row r="4929" ht="15" customHeight="1" x14ac:dyDescent="0.25"/>
    <row r="4930" ht="15" customHeight="1" x14ac:dyDescent="0.25"/>
    <row r="4931" ht="15" customHeight="1" x14ac:dyDescent="0.25"/>
    <row r="4932" ht="15" customHeight="1" x14ac:dyDescent="0.25"/>
    <row r="4933" ht="15" customHeight="1" x14ac:dyDescent="0.25"/>
    <row r="4934" ht="15" customHeight="1" x14ac:dyDescent="0.25"/>
    <row r="4935" ht="15" customHeight="1" x14ac:dyDescent="0.25"/>
    <row r="4936" ht="15" customHeight="1" x14ac:dyDescent="0.25"/>
    <row r="4937" ht="15" customHeight="1" x14ac:dyDescent="0.25"/>
    <row r="4938" ht="15" customHeight="1" x14ac:dyDescent="0.25"/>
    <row r="4939" ht="15" customHeight="1" x14ac:dyDescent="0.25"/>
    <row r="4940" ht="15" customHeight="1" x14ac:dyDescent="0.25"/>
    <row r="4941" ht="15" customHeight="1" x14ac:dyDescent="0.25"/>
    <row r="4942" ht="15" customHeight="1" x14ac:dyDescent="0.25"/>
    <row r="4943" ht="15" customHeight="1" x14ac:dyDescent="0.25"/>
    <row r="4944" ht="15" customHeight="1" x14ac:dyDescent="0.25"/>
    <row r="4945" ht="15" customHeight="1" x14ac:dyDescent="0.25"/>
    <row r="4946" ht="15" customHeight="1" x14ac:dyDescent="0.25"/>
    <row r="4947" ht="15" customHeight="1" x14ac:dyDescent="0.25"/>
    <row r="4948" ht="15" customHeight="1" x14ac:dyDescent="0.25"/>
    <row r="4949" ht="15" customHeight="1" x14ac:dyDescent="0.25"/>
    <row r="4950" ht="15" customHeight="1" x14ac:dyDescent="0.25"/>
    <row r="4951" ht="15" customHeight="1" x14ac:dyDescent="0.25"/>
    <row r="4952" ht="15" customHeight="1" x14ac:dyDescent="0.25"/>
    <row r="4953" ht="15" customHeight="1" x14ac:dyDescent="0.25"/>
    <row r="4954" ht="15" customHeight="1" x14ac:dyDescent="0.25"/>
    <row r="4955" ht="15" customHeight="1" x14ac:dyDescent="0.25"/>
    <row r="4956" ht="15" customHeight="1" x14ac:dyDescent="0.25"/>
    <row r="4957" ht="15" customHeight="1" x14ac:dyDescent="0.25"/>
    <row r="4958" ht="15" customHeight="1" x14ac:dyDescent="0.25"/>
    <row r="4959" ht="15" customHeight="1" x14ac:dyDescent="0.25"/>
    <row r="4960" ht="15" customHeight="1" x14ac:dyDescent="0.25"/>
    <row r="4961" ht="15" customHeight="1" x14ac:dyDescent="0.25"/>
    <row r="4962" ht="15" customHeight="1" x14ac:dyDescent="0.25"/>
    <row r="4963" ht="15" customHeight="1" x14ac:dyDescent="0.25"/>
    <row r="4964" ht="15" customHeight="1" x14ac:dyDescent="0.25"/>
    <row r="4965" ht="15" customHeight="1" x14ac:dyDescent="0.25"/>
    <row r="4966" ht="15" customHeight="1" x14ac:dyDescent="0.25"/>
    <row r="4967" ht="15" customHeight="1" x14ac:dyDescent="0.25"/>
    <row r="4968" ht="15" customHeight="1" x14ac:dyDescent="0.25"/>
    <row r="4969" ht="15" customHeight="1" x14ac:dyDescent="0.25"/>
    <row r="4970" ht="15" customHeight="1" x14ac:dyDescent="0.25"/>
    <row r="4971" ht="15" customHeight="1" x14ac:dyDescent="0.25"/>
    <row r="4972" ht="15" customHeight="1" x14ac:dyDescent="0.25"/>
    <row r="4973" ht="15" customHeight="1" x14ac:dyDescent="0.25"/>
    <row r="4974" ht="15" customHeight="1" x14ac:dyDescent="0.25"/>
    <row r="4975" ht="15" customHeight="1" x14ac:dyDescent="0.25"/>
    <row r="4976" ht="15" customHeight="1" x14ac:dyDescent="0.25"/>
    <row r="4977" ht="15" customHeight="1" x14ac:dyDescent="0.25"/>
    <row r="4978" ht="15" customHeight="1" x14ac:dyDescent="0.25"/>
    <row r="4979" ht="15" customHeight="1" x14ac:dyDescent="0.25"/>
    <row r="4980" ht="15" customHeight="1" x14ac:dyDescent="0.25"/>
    <row r="4981" ht="15" customHeight="1" x14ac:dyDescent="0.25"/>
    <row r="4982" ht="15" customHeight="1" x14ac:dyDescent="0.25"/>
    <row r="4983" ht="15" customHeight="1" x14ac:dyDescent="0.25"/>
    <row r="4984" ht="15" customHeight="1" x14ac:dyDescent="0.25"/>
    <row r="4985" ht="15" customHeight="1" x14ac:dyDescent="0.25"/>
    <row r="4986" ht="15" customHeight="1" x14ac:dyDescent="0.25"/>
    <row r="4987" ht="15" customHeight="1" x14ac:dyDescent="0.25"/>
    <row r="4988" ht="15" customHeight="1" x14ac:dyDescent="0.25"/>
    <row r="4989" ht="15" customHeight="1" x14ac:dyDescent="0.25"/>
    <row r="4990" ht="15" customHeight="1" x14ac:dyDescent="0.25"/>
    <row r="4991" ht="15" customHeight="1" x14ac:dyDescent="0.25"/>
    <row r="4992" ht="15" customHeight="1" x14ac:dyDescent="0.25"/>
    <row r="4993" ht="15" customHeight="1" x14ac:dyDescent="0.25"/>
    <row r="4994" ht="15" customHeight="1" x14ac:dyDescent="0.25"/>
    <row r="4995" ht="15" customHeight="1" x14ac:dyDescent="0.25"/>
    <row r="4996" ht="15" customHeight="1" x14ac:dyDescent="0.25"/>
    <row r="4997" ht="15" customHeight="1" x14ac:dyDescent="0.25"/>
    <row r="4998" ht="15" customHeight="1" x14ac:dyDescent="0.25"/>
    <row r="4999" ht="15" customHeight="1" x14ac:dyDescent="0.25"/>
    <row r="5000" ht="15" customHeight="1" x14ac:dyDescent="0.25"/>
    <row r="5001" ht="15" customHeight="1" x14ac:dyDescent="0.25"/>
    <row r="5002" ht="15" customHeight="1" x14ac:dyDescent="0.25"/>
    <row r="5003" ht="15" customHeight="1" x14ac:dyDescent="0.25"/>
    <row r="5004" ht="15" customHeight="1" x14ac:dyDescent="0.25"/>
    <row r="5005" ht="15" customHeight="1" x14ac:dyDescent="0.25"/>
    <row r="5006" ht="15" customHeight="1" x14ac:dyDescent="0.25"/>
    <row r="5007" ht="15" customHeight="1" x14ac:dyDescent="0.25"/>
    <row r="5008" ht="15" customHeight="1" x14ac:dyDescent="0.25"/>
    <row r="5009" ht="15" customHeight="1" x14ac:dyDescent="0.25"/>
    <row r="5010" ht="15" customHeight="1" x14ac:dyDescent="0.25"/>
    <row r="5011" ht="15" customHeight="1" x14ac:dyDescent="0.25"/>
    <row r="5012" ht="15" customHeight="1" x14ac:dyDescent="0.25"/>
    <row r="5013" ht="15" customHeight="1" x14ac:dyDescent="0.25"/>
    <row r="5014" ht="15" customHeight="1" x14ac:dyDescent="0.25"/>
    <row r="5015" ht="15" customHeight="1" x14ac:dyDescent="0.25"/>
    <row r="5016" ht="15" customHeight="1" x14ac:dyDescent="0.25"/>
    <row r="5017" ht="15" customHeight="1" x14ac:dyDescent="0.25"/>
    <row r="5018" ht="15" customHeight="1" x14ac:dyDescent="0.25"/>
    <row r="5019" ht="15" customHeight="1" x14ac:dyDescent="0.25"/>
    <row r="5020" ht="15" customHeight="1" x14ac:dyDescent="0.25"/>
    <row r="5021" ht="15" customHeight="1" x14ac:dyDescent="0.25"/>
    <row r="5022" ht="15" customHeight="1" x14ac:dyDescent="0.25"/>
    <row r="5023" ht="15" customHeight="1" x14ac:dyDescent="0.25"/>
    <row r="5024" ht="15" customHeight="1" x14ac:dyDescent="0.25"/>
    <row r="5025" ht="15" customHeight="1" x14ac:dyDescent="0.25"/>
    <row r="5026" ht="15" customHeight="1" x14ac:dyDescent="0.25"/>
    <row r="5027" ht="15" customHeight="1" x14ac:dyDescent="0.25"/>
    <row r="5028" ht="15" customHeight="1" x14ac:dyDescent="0.25"/>
    <row r="5029" ht="15" customHeight="1" x14ac:dyDescent="0.25"/>
    <row r="5030" ht="15" customHeight="1" x14ac:dyDescent="0.25"/>
    <row r="5031" ht="15" customHeight="1" x14ac:dyDescent="0.25"/>
    <row r="5032" ht="15" customHeight="1" x14ac:dyDescent="0.25"/>
    <row r="5033" ht="15" customHeight="1" x14ac:dyDescent="0.25"/>
    <row r="5034" ht="15" customHeight="1" x14ac:dyDescent="0.25"/>
    <row r="5035" ht="15" customHeight="1" x14ac:dyDescent="0.25"/>
    <row r="5036" ht="15" customHeight="1" x14ac:dyDescent="0.25"/>
    <row r="5037" ht="15" customHeight="1" x14ac:dyDescent="0.25"/>
    <row r="5038" ht="15" customHeight="1" x14ac:dyDescent="0.25"/>
    <row r="5039" ht="15" customHeight="1" x14ac:dyDescent="0.25"/>
    <row r="5040" ht="15" customHeight="1" x14ac:dyDescent="0.25"/>
    <row r="5041" ht="15" customHeight="1" x14ac:dyDescent="0.25"/>
    <row r="5042" ht="15" customHeight="1" x14ac:dyDescent="0.25"/>
    <row r="5043" ht="15" customHeight="1" x14ac:dyDescent="0.25"/>
    <row r="5044" ht="15" customHeight="1" x14ac:dyDescent="0.25"/>
    <row r="5045" ht="15" customHeight="1" x14ac:dyDescent="0.25"/>
    <row r="5046" ht="15" customHeight="1" x14ac:dyDescent="0.25"/>
    <row r="5047" ht="15" customHeight="1" x14ac:dyDescent="0.25"/>
    <row r="5048" ht="15" customHeight="1" x14ac:dyDescent="0.25"/>
    <row r="5049" ht="15" customHeight="1" x14ac:dyDescent="0.25"/>
    <row r="5050" ht="15" customHeight="1" x14ac:dyDescent="0.25"/>
    <row r="5051" ht="15" customHeight="1" x14ac:dyDescent="0.25"/>
    <row r="5052" ht="15" customHeight="1" x14ac:dyDescent="0.25"/>
    <row r="5053" ht="15" customHeight="1" x14ac:dyDescent="0.25"/>
    <row r="5054" ht="15" customHeight="1" x14ac:dyDescent="0.25"/>
    <row r="5055" ht="15" customHeight="1" x14ac:dyDescent="0.25"/>
    <row r="5056" ht="15" customHeight="1" x14ac:dyDescent="0.25"/>
    <row r="5057" ht="15" customHeight="1" x14ac:dyDescent="0.25"/>
    <row r="5058" ht="15" customHeight="1" x14ac:dyDescent="0.25"/>
    <row r="5059" ht="15" customHeight="1" x14ac:dyDescent="0.25"/>
    <row r="5060" ht="15" customHeight="1" x14ac:dyDescent="0.25"/>
    <row r="5061" ht="15" customHeight="1" x14ac:dyDescent="0.25"/>
    <row r="5062" ht="15" customHeight="1" x14ac:dyDescent="0.25"/>
    <row r="5063" ht="15" customHeight="1" x14ac:dyDescent="0.25"/>
    <row r="5064" ht="15" customHeight="1" x14ac:dyDescent="0.25"/>
    <row r="5065" ht="15" customHeight="1" x14ac:dyDescent="0.25"/>
    <row r="5066" ht="15" customHeight="1" x14ac:dyDescent="0.25"/>
    <row r="5067" ht="15" customHeight="1" x14ac:dyDescent="0.25"/>
    <row r="5068" ht="15" customHeight="1" x14ac:dyDescent="0.25"/>
    <row r="5069" ht="15" customHeight="1" x14ac:dyDescent="0.25"/>
    <row r="5070" ht="15" customHeight="1" x14ac:dyDescent="0.25"/>
    <row r="5071" ht="15" customHeight="1" x14ac:dyDescent="0.25"/>
    <row r="5072" ht="15" customHeight="1" x14ac:dyDescent="0.25"/>
    <row r="5073" ht="15" customHeight="1" x14ac:dyDescent="0.25"/>
    <row r="5074" ht="15" customHeight="1" x14ac:dyDescent="0.25"/>
    <row r="5075" ht="15" customHeight="1" x14ac:dyDescent="0.25"/>
    <row r="5076" ht="15" customHeight="1" x14ac:dyDescent="0.25"/>
    <row r="5077" ht="15" customHeight="1" x14ac:dyDescent="0.25"/>
    <row r="5078" ht="15" customHeight="1" x14ac:dyDescent="0.25"/>
    <row r="5079" ht="15" customHeight="1" x14ac:dyDescent="0.25"/>
    <row r="5080" ht="15" customHeight="1" x14ac:dyDescent="0.25"/>
    <row r="5081" ht="15" customHeight="1" x14ac:dyDescent="0.25"/>
    <row r="5082" ht="15" customHeight="1" x14ac:dyDescent="0.25"/>
    <row r="5083" ht="15" customHeight="1" x14ac:dyDescent="0.25"/>
    <row r="5084" ht="15" customHeight="1" x14ac:dyDescent="0.25"/>
    <row r="5085" ht="15" customHeight="1" x14ac:dyDescent="0.25"/>
    <row r="5086" ht="15" customHeight="1" x14ac:dyDescent="0.25"/>
    <row r="5087" ht="15" customHeight="1" x14ac:dyDescent="0.25"/>
    <row r="5088" ht="15" customHeight="1" x14ac:dyDescent="0.25"/>
    <row r="5089" ht="15" customHeight="1" x14ac:dyDescent="0.25"/>
    <row r="5090" ht="15" customHeight="1" x14ac:dyDescent="0.25"/>
    <row r="5091" ht="15" customHeight="1" x14ac:dyDescent="0.25"/>
    <row r="5092" ht="15" customHeight="1" x14ac:dyDescent="0.25"/>
    <row r="5093" ht="15" customHeight="1" x14ac:dyDescent="0.25"/>
    <row r="5094" ht="15" customHeight="1" x14ac:dyDescent="0.25"/>
    <row r="5095" ht="15" customHeight="1" x14ac:dyDescent="0.25"/>
    <row r="5096" ht="15" customHeight="1" x14ac:dyDescent="0.25"/>
    <row r="5097" ht="15" customHeight="1" x14ac:dyDescent="0.25"/>
    <row r="5098" ht="15" customHeight="1" x14ac:dyDescent="0.25"/>
    <row r="5099" ht="15" customHeight="1" x14ac:dyDescent="0.25"/>
    <row r="5100" ht="15" customHeight="1" x14ac:dyDescent="0.25"/>
    <row r="5101" ht="15" customHeight="1" x14ac:dyDescent="0.25"/>
    <row r="5102" ht="15" customHeight="1" x14ac:dyDescent="0.25"/>
    <row r="5103" ht="15" customHeight="1" x14ac:dyDescent="0.25"/>
    <row r="5104" ht="15" customHeight="1" x14ac:dyDescent="0.25"/>
    <row r="5105" ht="15" customHeight="1" x14ac:dyDescent="0.25"/>
    <row r="5106" ht="15" customHeight="1" x14ac:dyDescent="0.25"/>
    <row r="5107" ht="15" customHeight="1" x14ac:dyDescent="0.25"/>
    <row r="5108" ht="15" customHeight="1" x14ac:dyDescent="0.25"/>
    <row r="5109" ht="15" customHeight="1" x14ac:dyDescent="0.25"/>
    <row r="5110" ht="15" customHeight="1" x14ac:dyDescent="0.25"/>
    <row r="5111" ht="15" customHeight="1" x14ac:dyDescent="0.25"/>
    <row r="5112" ht="15" customHeight="1" x14ac:dyDescent="0.25"/>
    <row r="5113" ht="15" customHeight="1" x14ac:dyDescent="0.25"/>
    <row r="5114" ht="15" customHeight="1" x14ac:dyDescent="0.25"/>
    <row r="5115" ht="15" customHeight="1" x14ac:dyDescent="0.25"/>
    <row r="5116" ht="15" customHeight="1" x14ac:dyDescent="0.25"/>
    <row r="5117" ht="15" customHeight="1" x14ac:dyDescent="0.25"/>
    <row r="5118" ht="15" customHeight="1" x14ac:dyDescent="0.25"/>
    <row r="5119" ht="15" customHeight="1" x14ac:dyDescent="0.25"/>
    <row r="5120" ht="15" customHeight="1" x14ac:dyDescent="0.25"/>
    <row r="5121" ht="15" customHeight="1" x14ac:dyDescent="0.25"/>
    <row r="5122" ht="15" customHeight="1" x14ac:dyDescent="0.25"/>
    <row r="5123" ht="15" customHeight="1" x14ac:dyDescent="0.25"/>
    <row r="5124" ht="15" customHeight="1" x14ac:dyDescent="0.25"/>
    <row r="5125" ht="15" customHeight="1" x14ac:dyDescent="0.25"/>
    <row r="5126" ht="15" customHeight="1" x14ac:dyDescent="0.25"/>
    <row r="5127" ht="15" customHeight="1" x14ac:dyDescent="0.25"/>
    <row r="5128" ht="15" customHeight="1" x14ac:dyDescent="0.25"/>
    <row r="5129" ht="15" customHeight="1" x14ac:dyDescent="0.25"/>
    <row r="5130" ht="15" customHeight="1" x14ac:dyDescent="0.25"/>
    <row r="5131" ht="15" customHeight="1" x14ac:dyDescent="0.25"/>
    <row r="5132" ht="15" customHeight="1" x14ac:dyDescent="0.25"/>
    <row r="5133" ht="15" customHeight="1" x14ac:dyDescent="0.25"/>
    <row r="5134" ht="15" customHeight="1" x14ac:dyDescent="0.25"/>
    <row r="5135" ht="15" customHeight="1" x14ac:dyDescent="0.25"/>
    <row r="5136" ht="15" customHeight="1" x14ac:dyDescent="0.25"/>
    <row r="5137" ht="15" customHeight="1" x14ac:dyDescent="0.25"/>
    <row r="5138" ht="15" customHeight="1" x14ac:dyDescent="0.25"/>
    <row r="5139" ht="15" customHeight="1" x14ac:dyDescent="0.25"/>
    <row r="5140" ht="15" customHeight="1" x14ac:dyDescent="0.25"/>
    <row r="5141" ht="15" customHeight="1" x14ac:dyDescent="0.25"/>
    <row r="5142" ht="15" customHeight="1" x14ac:dyDescent="0.25"/>
    <row r="5143" ht="15" customHeight="1" x14ac:dyDescent="0.25"/>
    <row r="5144" ht="15" customHeight="1" x14ac:dyDescent="0.25"/>
    <row r="5145" ht="15" customHeight="1" x14ac:dyDescent="0.25"/>
    <row r="5146" ht="15" customHeight="1" x14ac:dyDescent="0.25"/>
    <row r="5147" ht="15" customHeight="1" x14ac:dyDescent="0.25"/>
    <row r="5148" ht="15" customHeight="1" x14ac:dyDescent="0.25"/>
    <row r="5149" ht="15" customHeight="1" x14ac:dyDescent="0.25"/>
    <row r="5150" ht="15" customHeight="1" x14ac:dyDescent="0.25"/>
    <row r="5151" ht="15" customHeight="1" x14ac:dyDescent="0.25"/>
    <row r="5152" ht="15" customHeight="1" x14ac:dyDescent="0.25"/>
    <row r="5153" ht="15" customHeight="1" x14ac:dyDescent="0.25"/>
    <row r="5154" ht="15" customHeight="1" x14ac:dyDescent="0.25"/>
    <row r="5155" ht="15" customHeight="1" x14ac:dyDescent="0.25"/>
    <row r="5156" ht="15" customHeight="1" x14ac:dyDescent="0.25"/>
    <row r="5157" ht="15" customHeight="1" x14ac:dyDescent="0.25"/>
    <row r="5158" ht="15" customHeight="1" x14ac:dyDescent="0.25"/>
    <row r="5159" ht="15" customHeight="1" x14ac:dyDescent="0.25"/>
    <row r="5160" ht="15" customHeight="1" x14ac:dyDescent="0.25"/>
    <row r="5161" ht="15" customHeight="1" x14ac:dyDescent="0.25"/>
    <row r="5162" ht="15" customHeight="1" x14ac:dyDescent="0.25"/>
    <row r="5163" ht="15" customHeight="1" x14ac:dyDescent="0.25"/>
    <row r="5164" ht="15" customHeight="1" x14ac:dyDescent="0.25"/>
    <row r="5165" ht="15" customHeight="1" x14ac:dyDescent="0.25"/>
    <row r="5166" ht="15" customHeight="1" x14ac:dyDescent="0.25"/>
    <row r="5167" ht="15" customHeight="1" x14ac:dyDescent="0.25"/>
    <row r="5168" ht="15" customHeight="1" x14ac:dyDescent="0.25"/>
    <row r="5169" ht="15" customHeight="1" x14ac:dyDescent="0.25"/>
    <row r="5170" ht="15" customHeight="1" x14ac:dyDescent="0.25"/>
    <row r="5171" ht="15" customHeight="1" x14ac:dyDescent="0.25"/>
    <row r="5172" ht="15" customHeight="1" x14ac:dyDescent="0.25"/>
    <row r="5173" ht="15" customHeight="1" x14ac:dyDescent="0.25"/>
    <row r="5174" ht="15" customHeight="1" x14ac:dyDescent="0.25"/>
    <row r="5175" ht="15" customHeight="1" x14ac:dyDescent="0.25"/>
    <row r="5176" ht="15" customHeight="1" x14ac:dyDescent="0.25"/>
    <row r="5177" ht="15" customHeight="1" x14ac:dyDescent="0.25"/>
    <row r="5178" ht="15" customHeight="1" x14ac:dyDescent="0.25"/>
    <row r="5179" ht="15" customHeight="1" x14ac:dyDescent="0.25"/>
    <row r="5180" ht="15" customHeight="1" x14ac:dyDescent="0.25"/>
    <row r="5181" ht="15" customHeight="1" x14ac:dyDescent="0.25"/>
    <row r="5182" ht="15" customHeight="1" x14ac:dyDescent="0.25"/>
    <row r="5183" ht="15" customHeight="1" x14ac:dyDescent="0.25"/>
    <row r="5184" ht="15" customHeight="1" x14ac:dyDescent="0.25"/>
    <row r="5185" ht="15" customHeight="1" x14ac:dyDescent="0.25"/>
    <row r="5186" ht="15" customHeight="1" x14ac:dyDescent="0.25"/>
    <row r="5187" ht="15" customHeight="1" x14ac:dyDescent="0.25"/>
    <row r="5188" ht="15" customHeight="1" x14ac:dyDescent="0.25"/>
    <row r="5189" ht="15" customHeight="1" x14ac:dyDescent="0.25"/>
    <row r="5190" ht="15" customHeight="1" x14ac:dyDescent="0.25"/>
    <row r="5191" ht="15" customHeight="1" x14ac:dyDescent="0.25"/>
    <row r="5192" ht="15" customHeight="1" x14ac:dyDescent="0.25"/>
    <row r="5193" ht="15" customHeight="1" x14ac:dyDescent="0.25"/>
    <row r="5194" ht="15" customHeight="1" x14ac:dyDescent="0.25"/>
    <row r="5195" ht="15" customHeight="1" x14ac:dyDescent="0.25"/>
    <row r="5196" ht="15" customHeight="1" x14ac:dyDescent="0.25"/>
    <row r="5197" ht="15" customHeight="1" x14ac:dyDescent="0.25"/>
    <row r="5198" ht="15" customHeight="1" x14ac:dyDescent="0.25"/>
    <row r="5199" ht="15" customHeight="1" x14ac:dyDescent="0.25"/>
    <row r="5200" ht="15" customHeight="1" x14ac:dyDescent="0.25"/>
    <row r="5201" ht="15" customHeight="1" x14ac:dyDescent="0.25"/>
    <row r="5202" ht="15" customHeight="1" x14ac:dyDescent="0.25"/>
    <row r="5203" ht="15" customHeight="1" x14ac:dyDescent="0.25"/>
    <row r="5204" ht="15" customHeight="1" x14ac:dyDescent="0.25"/>
    <row r="5205" ht="15" customHeight="1" x14ac:dyDescent="0.25"/>
    <row r="5206" ht="15" customHeight="1" x14ac:dyDescent="0.25"/>
    <row r="5207" ht="15" customHeight="1" x14ac:dyDescent="0.25"/>
    <row r="5208" ht="15" customHeight="1" x14ac:dyDescent="0.25"/>
    <row r="5209" ht="15" customHeight="1" x14ac:dyDescent="0.25"/>
    <row r="5210" ht="15" customHeight="1" x14ac:dyDescent="0.25"/>
    <row r="5211" ht="15" customHeight="1" x14ac:dyDescent="0.25"/>
    <row r="5212" ht="15" customHeight="1" x14ac:dyDescent="0.25"/>
    <row r="5213" ht="15" customHeight="1" x14ac:dyDescent="0.25"/>
    <row r="5214" ht="15" customHeight="1" x14ac:dyDescent="0.25"/>
    <row r="5215" ht="15" customHeight="1" x14ac:dyDescent="0.25"/>
    <row r="5216" ht="15" customHeight="1" x14ac:dyDescent="0.25"/>
    <row r="5217" ht="15" customHeight="1" x14ac:dyDescent="0.25"/>
    <row r="5218" ht="15" customHeight="1" x14ac:dyDescent="0.25"/>
    <row r="5219" ht="15" customHeight="1" x14ac:dyDescent="0.25"/>
    <row r="5220" ht="15" customHeight="1" x14ac:dyDescent="0.25"/>
    <row r="5221" ht="15" customHeight="1" x14ac:dyDescent="0.25"/>
    <row r="5222" ht="15" customHeight="1" x14ac:dyDescent="0.25"/>
    <row r="5223" ht="15" customHeight="1" x14ac:dyDescent="0.25"/>
    <row r="5224" ht="15" customHeight="1" x14ac:dyDescent="0.25"/>
    <row r="5225" ht="15" customHeight="1" x14ac:dyDescent="0.25"/>
    <row r="5226" ht="15" customHeight="1" x14ac:dyDescent="0.25"/>
    <row r="5227" ht="15" customHeight="1" x14ac:dyDescent="0.25"/>
    <row r="5228" ht="15" customHeight="1" x14ac:dyDescent="0.25"/>
    <row r="5229" ht="15" customHeight="1" x14ac:dyDescent="0.25"/>
    <row r="5230" ht="15" customHeight="1" x14ac:dyDescent="0.25"/>
    <row r="5231" ht="15" customHeight="1" x14ac:dyDescent="0.25"/>
    <row r="5232" ht="15" customHeight="1" x14ac:dyDescent="0.25"/>
    <row r="5233" ht="15" customHeight="1" x14ac:dyDescent="0.25"/>
    <row r="5234" ht="15" customHeight="1" x14ac:dyDescent="0.25"/>
    <row r="5235" ht="15" customHeight="1" x14ac:dyDescent="0.25"/>
    <row r="5236" ht="15" customHeight="1" x14ac:dyDescent="0.25"/>
    <row r="5237" ht="15" customHeight="1" x14ac:dyDescent="0.25"/>
    <row r="5238" ht="15" customHeight="1" x14ac:dyDescent="0.25"/>
    <row r="5239" ht="15" customHeight="1" x14ac:dyDescent="0.25"/>
    <row r="5240" ht="15" customHeight="1" x14ac:dyDescent="0.25"/>
    <row r="5241" ht="15" customHeight="1" x14ac:dyDescent="0.25"/>
    <row r="5242" ht="15" customHeight="1" x14ac:dyDescent="0.25"/>
    <row r="5243" ht="15" customHeight="1" x14ac:dyDescent="0.25"/>
    <row r="5244" ht="15" customHeight="1" x14ac:dyDescent="0.25"/>
    <row r="5245" ht="15" customHeight="1" x14ac:dyDescent="0.25"/>
    <row r="5246" ht="15" customHeight="1" x14ac:dyDescent="0.25"/>
    <row r="5247" ht="15" customHeight="1" x14ac:dyDescent="0.25"/>
    <row r="5248" ht="15" customHeight="1" x14ac:dyDescent="0.25"/>
    <row r="5249" ht="15" customHeight="1" x14ac:dyDescent="0.25"/>
    <row r="5250" ht="15" customHeight="1" x14ac:dyDescent="0.25"/>
    <row r="5251" ht="15" customHeight="1" x14ac:dyDescent="0.25"/>
    <row r="5252" ht="15" customHeight="1" x14ac:dyDescent="0.25"/>
    <row r="5253" ht="15" customHeight="1" x14ac:dyDescent="0.25"/>
    <row r="5254" ht="15" customHeight="1" x14ac:dyDescent="0.25"/>
    <row r="5255" ht="15" customHeight="1" x14ac:dyDescent="0.25"/>
    <row r="5256" ht="15" customHeight="1" x14ac:dyDescent="0.25"/>
    <row r="5257" ht="15" customHeight="1" x14ac:dyDescent="0.25"/>
    <row r="5258" ht="15" customHeight="1" x14ac:dyDescent="0.25"/>
    <row r="5259" ht="15" customHeight="1" x14ac:dyDescent="0.25"/>
    <row r="5260" ht="15" customHeight="1" x14ac:dyDescent="0.25"/>
    <row r="5261" ht="15" customHeight="1" x14ac:dyDescent="0.25"/>
    <row r="5262" ht="15" customHeight="1" x14ac:dyDescent="0.25"/>
    <row r="5263" ht="15" customHeight="1" x14ac:dyDescent="0.25"/>
    <row r="5264" ht="15" customHeight="1" x14ac:dyDescent="0.25"/>
    <row r="5265" ht="15" customHeight="1" x14ac:dyDescent="0.25"/>
    <row r="5266" ht="15" customHeight="1" x14ac:dyDescent="0.25"/>
    <row r="5267" ht="15" customHeight="1" x14ac:dyDescent="0.25"/>
    <row r="5268" ht="15" customHeight="1" x14ac:dyDescent="0.25"/>
    <row r="5269" ht="15" customHeight="1" x14ac:dyDescent="0.25"/>
    <row r="5270" ht="15" customHeight="1" x14ac:dyDescent="0.25"/>
    <row r="5271" ht="15" customHeight="1" x14ac:dyDescent="0.25"/>
    <row r="5272" ht="15" customHeight="1" x14ac:dyDescent="0.25"/>
    <row r="5273" ht="15" customHeight="1" x14ac:dyDescent="0.25"/>
    <row r="5274" ht="15" customHeight="1" x14ac:dyDescent="0.25"/>
    <row r="5275" ht="15" customHeight="1" x14ac:dyDescent="0.25"/>
    <row r="5276" ht="15" customHeight="1" x14ac:dyDescent="0.25"/>
    <row r="5277" ht="15" customHeight="1" x14ac:dyDescent="0.25"/>
    <row r="5278" ht="15" customHeight="1" x14ac:dyDescent="0.25"/>
    <row r="5279" ht="15" customHeight="1" x14ac:dyDescent="0.25"/>
    <row r="5280" ht="15" customHeight="1" x14ac:dyDescent="0.25"/>
    <row r="5281" ht="15" customHeight="1" x14ac:dyDescent="0.25"/>
    <row r="5282" ht="15" customHeight="1" x14ac:dyDescent="0.25"/>
    <row r="5283" ht="15" customHeight="1" x14ac:dyDescent="0.25"/>
    <row r="5284" ht="15" customHeight="1" x14ac:dyDescent="0.25"/>
    <row r="5285" ht="15" customHeight="1" x14ac:dyDescent="0.25"/>
    <row r="5286" ht="15" customHeight="1" x14ac:dyDescent="0.25"/>
    <row r="5287" ht="15" customHeight="1" x14ac:dyDescent="0.25"/>
    <row r="5288" ht="15" customHeight="1" x14ac:dyDescent="0.25"/>
    <row r="5289" ht="15" customHeight="1" x14ac:dyDescent="0.25"/>
    <row r="5290" ht="15" customHeight="1" x14ac:dyDescent="0.25"/>
    <row r="5291" ht="15" customHeight="1" x14ac:dyDescent="0.25"/>
    <row r="5292" ht="15" customHeight="1" x14ac:dyDescent="0.25"/>
    <row r="5293" ht="15" customHeight="1" x14ac:dyDescent="0.25"/>
    <row r="5294" ht="15" customHeight="1" x14ac:dyDescent="0.25"/>
    <row r="5295" ht="15" customHeight="1" x14ac:dyDescent="0.25"/>
    <row r="5296" ht="15" customHeight="1" x14ac:dyDescent="0.25"/>
    <row r="5297" ht="15" customHeight="1" x14ac:dyDescent="0.25"/>
    <row r="5298" ht="15" customHeight="1" x14ac:dyDescent="0.25"/>
    <row r="5299" ht="15" customHeight="1" x14ac:dyDescent="0.25"/>
    <row r="5300" ht="15" customHeight="1" x14ac:dyDescent="0.25"/>
    <row r="5301" ht="15" customHeight="1" x14ac:dyDescent="0.25"/>
    <row r="5302" ht="15" customHeight="1" x14ac:dyDescent="0.25"/>
    <row r="5303" ht="15" customHeight="1" x14ac:dyDescent="0.25"/>
    <row r="5304" ht="15" customHeight="1" x14ac:dyDescent="0.25"/>
    <row r="5305" ht="15" customHeight="1" x14ac:dyDescent="0.25"/>
    <row r="5306" ht="15" customHeight="1" x14ac:dyDescent="0.25"/>
    <row r="5307" ht="15" customHeight="1" x14ac:dyDescent="0.25"/>
    <row r="5308" ht="15" customHeight="1" x14ac:dyDescent="0.25"/>
    <row r="5309" ht="15" customHeight="1" x14ac:dyDescent="0.25"/>
    <row r="5310" ht="15" customHeight="1" x14ac:dyDescent="0.25"/>
    <row r="5311" ht="15" customHeight="1" x14ac:dyDescent="0.25"/>
    <row r="5312" ht="15" customHeight="1" x14ac:dyDescent="0.25"/>
    <row r="5313" ht="15" customHeight="1" x14ac:dyDescent="0.25"/>
    <row r="5314" ht="15" customHeight="1" x14ac:dyDescent="0.25"/>
    <row r="5315" ht="15" customHeight="1" x14ac:dyDescent="0.25"/>
    <row r="5316" ht="15" customHeight="1" x14ac:dyDescent="0.25"/>
    <row r="5317" ht="15" customHeight="1" x14ac:dyDescent="0.25"/>
    <row r="5318" ht="15" customHeight="1" x14ac:dyDescent="0.25"/>
    <row r="5319" ht="15" customHeight="1" x14ac:dyDescent="0.25"/>
    <row r="5320" ht="15" customHeight="1" x14ac:dyDescent="0.25"/>
    <row r="5321" ht="15" customHeight="1" x14ac:dyDescent="0.25"/>
    <row r="5322" ht="15" customHeight="1" x14ac:dyDescent="0.25"/>
    <row r="5323" ht="15" customHeight="1" x14ac:dyDescent="0.25"/>
    <row r="5324" ht="15" customHeight="1" x14ac:dyDescent="0.25"/>
    <row r="5325" ht="15" customHeight="1" x14ac:dyDescent="0.25"/>
    <row r="5326" ht="15" customHeight="1" x14ac:dyDescent="0.25"/>
    <row r="5327" ht="15" customHeight="1" x14ac:dyDescent="0.25"/>
    <row r="5328" ht="15" customHeight="1" x14ac:dyDescent="0.25"/>
    <row r="5329" ht="15" customHeight="1" x14ac:dyDescent="0.25"/>
    <row r="5330" ht="15" customHeight="1" x14ac:dyDescent="0.25"/>
    <row r="5331" ht="15" customHeight="1" x14ac:dyDescent="0.25"/>
    <row r="5332" ht="15" customHeight="1" x14ac:dyDescent="0.25"/>
    <row r="5333" ht="15" customHeight="1" x14ac:dyDescent="0.25"/>
    <row r="5334" ht="15" customHeight="1" x14ac:dyDescent="0.25"/>
    <row r="5335" ht="15" customHeight="1" x14ac:dyDescent="0.25"/>
    <row r="5336" ht="15" customHeight="1" x14ac:dyDescent="0.25"/>
    <row r="5337" ht="15" customHeight="1" x14ac:dyDescent="0.25"/>
    <row r="5338" ht="15" customHeight="1" x14ac:dyDescent="0.25"/>
    <row r="5339" ht="15" customHeight="1" x14ac:dyDescent="0.25"/>
    <row r="5340" ht="15" customHeight="1" x14ac:dyDescent="0.25"/>
    <row r="5341" ht="15" customHeight="1" x14ac:dyDescent="0.25"/>
    <row r="5342" ht="15" customHeight="1" x14ac:dyDescent="0.25"/>
    <row r="5343" ht="15" customHeight="1" x14ac:dyDescent="0.25"/>
    <row r="5344" ht="15" customHeight="1" x14ac:dyDescent="0.25"/>
    <row r="5345" ht="15" customHeight="1" x14ac:dyDescent="0.25"/>
    <row r="5346" ht="15" customHeight="1" x14ac:dyDescent="0.25"/>
    <row r="5347" ht="15" customHeight="1" x14ac:dyDescent="0.25"/>
    <row r="5348" ht="15" customHeight="1" x14ac:dyDescent="0.25"/>
    <row r="5349" ht="15" customHeight="1" x14ac:dyDescent="0.25"/>
    <row r="5350" ht="15" customHeight="1" x14ac:dyDescent="0.25"/>
    <row r="5351" ht="15" customHeight="1" x14ac:dyDescent="0.25"/>
    <row r="5352" ht="15" customHeight="1" x14ac:dyDescent="0.25"/>
    <row r="5353" ht="15" customHeight="1" x14ac:dyDescent="0.25"/>
    <row r="5354" ht="15" customHeight="1" x14ac:dyDescent="0.25"/>
    <row r="5355" ht="15" customHeight="1" x14ac:dyDescent="0.25"/>
    <row r="5356" ht="15" customHeight="1" x14ac:dyDescent="0.25"/>
    <row r="5357" ht="15" customHeight="1" x14ac:dyDescent="0.25"/>
    <row r="5358" ht="15" customHeight="1" x14ac:dyDescent="0.25"/>
    <row r="5359" ht="15" customHeight="1" x14ac:dyDescent="0.25"/>
    <row r="5360" ht="15" customHeight="1" x14ac:dyDescent="0.25"/>
    <row r="5361" ht="15" customHeight="1" x14ac:dyDescent="0.25"/>
    <row r="5362" ht="15" customHeight="1" x14ac:dyDescent="0.25"/>
    <row r="5363" ht="15" customHeight="1" x14ac:dyDescent="0.25"/>
    <row r="5364" ht="15" customHeight="1" x14ac:dyDescent="0.25"/>
    <row r="5365" ht="15" customHeight="1" x14ac:dyDescent="0.25"/>
    <row r="5366" ht="15" customHeight="1" x14ac:dyDescent="0.25"/>
    <row r="5367" ht="15" customHeight="1" x14ac:dyDescent="0.25"/>
    <row r="5368" ht="15" customHeight="1" x14ac:dyDescent="0.25"/>
    <row r="5369" ht="15" customHeight="1" x14ac:dyDescent="0.25"/>
    <row r="5370" ht="15" customHeight="1" x14ac:dyDescent="0.25"/>
    <row r="5371" ht="15" customHeight="1" x14ac:dyDescent="0.25"/>
    <row r="5372" ht="15" customHeight="1" x14ac:dyDescent="0.25"/>
    <row r="5373" ht="15" customHeight="1" x14ac:dyDescent="0.25"/>
    <row r="5374" ht="15" customHeight="1" x14ac:dyDescent="0.25"/>
    <row r="5375" ht="15" customHeight="1" x14ac:dyDescent="0.25"/>
    <row r="5376" ht="15" customHeight="1" x14ac:dyDescent="0.25"/>
    <row r="5377" ht="15" customHeight="1" x14ac:dyDescent="0.25"/>
    <row r="5378" ht="15" customHeight="1" x14ac:dyDescent="0.25"/>
    <row r="5379" ht="15" customHeight="1" x14ac:dyDescent="0.25"/>
    <row r="5380" ht="15" customHeight="1" x14ac:dyDescent="0.25"/>
    <row r="5381" ht="15" customHeight="1" x14ac:dyDescent="0.25"/>
    <row r="5382" ht="15" customHeight="1" x14ac:dyDescent="0.25"/>
    <row r="5383" ht="15" customHeight="1" x14ac:dyDescent="0.25"/>
    <row r="5384" ht="15" customHeight="1" x14ac:dyDescent="0.25"/>
    <row r="5385" ht="15" customHeight="1" x14ac:dyDescent="0.25"/>
    <row r="5386" ht="15" customHeight="1" x14ac:dyDescent="0.25"/>
    <row r="5387" ht="15" customHeight="1" x14ac:dyDescent="0.25"/>
    <row r="5388" ht="15" customHeight="1" x14ac:dyDescent="0.25"/>
    <row r="5389" ht="15" customHeight="1" x14ac:dyDescent="0.25"/>
    <row r="5390" ht="15" customHeight="1" x14ac:dyDescent="0.25"/>
    <row r="5391" ht="15" customHeight="1" x14ac:dyDescent="0.25"/>
    <row r="5392" ht="15" customHeight="1" x14ac:dyDescent="0.25"/>
    <row r="5393" ht="15" customHeight="1" x14ac:dyDescent="0.25"/>
    <row r="5394" ht="15" customHeight="1" x14ac:dyDescent="0.25"/>
    <row r="5395" ht="15" customHeight="1" x14ac:dyDescent="0.25"/>
    <row r="5396" ht="15" customHeight="1" x14ac:dyDescent="0.25"/>
    <row r="5397" ht="15" customHeight="1" x14ac:dyDescent="0.25"/>
    <row r="5398" ht="15" customHeight="1" x14ac:dyDescent="0.25"/>
    <row r="5399" ht="15" customHeight="1" x14ac:dyDescent="0.25"/>
    <row r="5400" ht="15" customHeight="1" x14ac:dyDescent="0.25"/>
    <row r="5401" ht="15" customHeight="1" x14ac:dyDescent="0.25"/>
    <row r="5402" ht="15" customHeight="1" x14ac:dyDescent="0.25"/>
    <row r="5403" ht="15" customHeight="1" x14ac:dyDescent="0.25"/>
    <row r="5404" ht="15" customHeight="1" x14ac:dyDescent="0.25"/>
    <row r="5405" ht="15" customHeight="1" x14ac:dyDescent="0.25"/>
    <row r="5406" ht="15" customHeight="1" x14ac:dyDescent="0.25"/>
    <row r="5407" ht="15" customHeight="1" x14ac:dyDescent="0.25"/>
    <row r="5408" ht="15" customHeight="1" x14ac:dyDescent="0.25"/>
    <row r="5409" ht="15" customHeight="1" x14ac:dyDescent="0.25"/>
    <row r="5410" ht="15" customHeight="1" x14ac:dyDescent="0.25"/>
    <row r="5411" ht="15" customHeight="1" x14ac:dyDescent="0.25"/>
    <row r="5412" ht="15" customHeight="1" x14ac:dyDescent="0.25"/>
    <row r="5413" ht="15" customHeight="1" x14ac:dyDescent="0.25"/>
    <row r="5414" ht="15" customHeight="1" x14ac:dyDescent="0.25"/>
    <row r="5415" ht="15" customHeight="1" x14ac:dyDescent="0.25"/>
    <row r="5416" ht="15" customHeight="1" x14ac:dyDescent="0.25"/>
    <row r="5417" ht="15" customHeight="1" x14ac:dyDescent="0.25"/>
    <row r="5418" ht="15" customHeight="1" x14ac:dyDescent="0.25"/>
    <row r="5419" ht="15" customHeight="1" x14ac:dyDescent="0.25"/>
    <row r="5420" ht="15" customHeight="1" x14ac:dyDescent="0.25"/>
    <row r="5421" ht="15" customHeight="1" x14ac:dyDescent="0.25"/>
    <row r="5422" ht="15" customHeight="1" x14ac:dyDescent="0.25"/>
    <row r="5423" ht="15" customHeight="1" x14ac:dyDescent="0.25"/>
    <row r="5424" ht="15" customHeight="1" x14ac:dyDescent="0.25"/>
    <row r="5425" ht="15" customHeight="1" x14ac:dyDescent="0.25"/>
    <row r="5426" ht="15" customHeight="1" x14ac:dyDescent="0.25"/>
    <row r="5427" ht="15" customHeight="1" x14ac:dyDescent="0.25"/>
    <row r="5428" ht="15" customHeight="1" x14ac:dyDescent="0.25"/>
    <row r="5429" ht="15" customHeight="1" x14ac:dyDescent="0.25"/>
    <row r="5430" ht="15" customHeight="1" x14ac:dyDescent="0.25"/>
    <row r="5431" ht="15" customHeight="1" x14ac:dyDescent="0.25"/>
    <row r="5432" ht="15" customHeight="1" x14ac:dyDescent="0.25"/>
    <row r="5433" ht="15" customHeight="1" x14ac:dyDescent="0.25"/>
    <row r="5434" ht="15" customHeight="1" x14ac:dyDescent="0.25"/>
    <row r="5435" ht="15" customHeight="1" x14ac:dyDescent="0.25"/>
    <row r="5436" ht="15" customHeight="1" x14ac:dyDescent="0.25"/>
    <row r="5437" ht="15" customHeight="1" x14ac:dyDescent="0.25"/>
    <row r="5438" ht="15" customHeight="1" x14ac:dyDescent="0.25"/>
    <row r="5439" ht="15" customHeight="1" x14ac:dyDescent="0.25"/>
    <row r="5440" ht="15" customHeight="1" x14ac:dyDescent="0.25"/>
    <row r="5441" ht="15" customHeight="1" x14ac:dyDescent="0.25"/>
    <row r="5442" ht="15" customHeight="1" x14ac:dyDescent="0.25"/>
    <row r="5443" ht="15" customHeight="1" x14ac:dyDescent="0.25"/>
    <row r="5444" ht="15" customHeight="1" x14ac:dyDescent="0.25"/>
    <row r="5445" ht="15" customHeight="1" x14ac:dyDescent="0.25"/>
    <row r="5446" ht="15" customHeight="1" x14ac:dyDescent="0.25"/>
    <row r="5447" ht="15" customHeight="1" x14ac:dyDescent="0.25"/>
    <row r="5448" ht="15" customHeight="1" x14ac:dyDescent="0.25"/>
    <row r="5449" ht="15" customHeight="1" x14ac:dyDescent="0.25"/>
    <row r="5450" ht="15" customHeight="1" x14ac:dyDescent="0.25"/>
    <row r="5451" ht="15" customHeight="1" x14ac:dyDescent="0.25"/>
    <row r="5452" ht="15" customHeight="1" x14ac:dyDescent="0.25"/>
    <row r="5453" ht="15" customHeight="1" x14ac:dyDescent="0.25"/>
    <row r="5454" ht="15" customHeight="1" x14ac:dyDescent="0.25"/>
    <row r="5455" ht="15" customHeight="1" x14ac:dyDescent="0.25"/>
    <row r="5456" ht="15" customHeight="1" x14ac:dyDescent="0.25"/>
    <row r="5457" ht="15" customHeight="1" x14ac:dyDescent="0.25"/>
    <row r="5458" ht="15" customHeight="1" x14ac:dyDescent="0.25"/>
    <row r="5459" ht="15" customHeight="1" x14ac:dyDescent="0.25"/>
    <row r="5460" ht="15" customHeight="1" x14ac:dyDescent="0.25"/>
    <row r="5461" ht="15" customHeight="1" x14ac:dyDescent="0.25"/>
    <row r="5462" ht="15" customHeight="1" x14ac:dyDescent="0.25"/>
    <row r="5463" ht="15" customHeight="1" x14ac:dyDescent="0.25"/>
    <row r="5464" ht="15" customHeight="1" x14ac:dyDescent="0.25"/>
    <row r="5465" ht="15" customHeight="1" x14ac:dyDescent="0.25"/>
    <row r="5466" ht="15" customHeight="1" x14ac:dyDescent="0.25"/>
    <row r="5467" ht="15" customHeight="1" x14ac:dyDescent="0.25"/>
    <row r="5468" ht="15" customHeight="1" x14ac:dyDescent="0.25"/>
    <row r="5469" ht="15" customHeight="1" x14ac:dyDescent="0.25"/>
    <row r="5470" ht="15" customHeight="1" x14ac:dyDescent="0.25"/>
    <row r="5471" ht="15" customHeight="1" x14ac:dyDescent="0.25"/>
    <row r="5472" ht="15" customHeight="1" x14ac:dyDescent="0.25"/>
    <row r="5473" ht="15" customHeight="1" x14ac:dyDescent="0.25"/>
    <row r="5474" ht="15" customHeight="1" x14ac:dyDescent="0.25"/>
    <row r="5475" ht="15" customHeight="1" x14ac:dyDescent="0.25"/>
    <row r="5476" ht="15" customHeight="1" x14ac:dyDescent="0.25"/>
    <row r="5477" ht="15" customHeight="1" x14ac:dyDescent="0.25"/>
    <row r="5478" ht="15" customHeight="1" x14ac:dyDescent="0.25"/>
    <row r="5479" ht="15" customHeight="1" x14ac:dyDescent="0.25"/>
    <row r="5480" ht="15" customHeight="1" x14ac:dyDescent="0.25"/>
    <row r="5481" ht="15" customHeight="1" x14ac:dyDescent="0.25"/>
    <row r="5482" ht="15" customHeight="1" x14ac:dyDescent="0.25"/>
    <row r="5483" ht="15" customHeight="1" x14ac:dyDescent="0.25"/>
    <row r="5484" ht="15" customHeight="1" x14ac:dyDescent="0.25"/>
    <row r="5485" ht="15" customHeight="1" x14ac:dyDescent="0.25"/>
    <row r="5486" ht="15" customHeight="1" x14ac:dyDescent="0.25"/>
    <row r="5487" ht="15" customHeight="1" x14ac:dyDescent="0.25"/>
    <row r="5488" ht="15" customHeight="1" x14ac:dyDescent="0.25"/>
    <row r="5489" ht="15" customHeight="1" x14ac:dyDescent="0.25"/>
    <row r="5490" ht="15" customHeight="1" x14ac:dyDescent="0.25"/>
    <row r="5491" ht="15" customHeight="1" x14ac:dyDescent="0.25"/>
    <row r="5492" ht="15" customHeight="1" x14ac:dyDescent="0.25"/>
    <row r="5493" ht="15" customHeight="1" x14ac:dyDescent="0.25"/>
    <row r="5494" ht="15" customHeight="1" x14ac:dyDescent="0.25"/>
    <row r="5495" ht="15" customHeight="1" x14ac:dyDescent="0.25"/>
    <row r="5496" ht="15" customHeight="1" x14ac:dyDescent="0.25"/>
    <row r="5497" ht="15" customHeight="1" x14ac:dyDescent="0.25"/>
    <row r="5498" ht="15" customHeight="1" x14ac:dyDescent="0.25"/>
    <row r="5499" ht="15" customHeight="1" x14ac:dyDescent="0.25"/>
    <row r="5500" ht="15" customHeight="1" x14ac:dyDescent="0.25"/>
    <row r="5501" ht="15" customHeight="1" x14ac:dyDescent="0.25"/>
    <row r="5502" ht="15" customHeight="1" x14ac:dyDescent="0.25"/>
    <row r="5503" ht="15" customHeight="1" x14ac:dyDescent="0.25"/>
    <row r="5504" ht="15" customHeight="1" x14ac:dyDescent="0.25"/>
    <row r="5505" ht="15" customHeight="1" x14ac:dyDescent="0.25"/>
    <row r="5506" ht="15" customHeight="1" x14ac:dyDescent="0.25"/>
    <row r="5507" ht="15" customHeight="1" x14ac:dyDescent="0.25"/>
    <row r="5508" ht="15" customHeight="1" x14ac:dyDescent="0.25"/>
    <row r="5509" ht="15" customHeight="1" x14ac:dyDescent="0.25"/>
    <row r="5510" ht="15" customHeight="1" x14ac:dyDescent="0.25"/>
    <row r="5511" ht="15" customHeight="1" x14ac:dyDescent="0.25"/>
    <row r="5512" ht="15" customHeight="1" x14ac:dyDescent="0.25"/>
    <row r="5513" ht="15" customHeight="1" x14ac:dyDescent="0.25"/>
    <row r="5514" ht="15" customHeight="1" x14ac:dyDescent="0.25"/>
    <row r="5515" ht="15" customHeight="1" x14ac:dyDescent="0.25"/>
    <row r="5516" ht="15" customHeight="1" x14ac:dyDescent="0.25"/>
    <row r="5517" ht="15" customHeight="1" x14ac:dyDescent="0.25"/>
    <row r="5518" ht="15" customHeight="1" x14ac:dyDescent="0.25"/>
    <row r="5519" ht="15" customHeight="1" x14ac:dyDescent="0.25"/>
    <row r="5520" ht="15" customHeight="1" x14ac:dyDescent="0.25"/>
    <row r="5521" ht="15" customHeight="1" x14ac:dyDescent="0.25"/>
    <row r="5522" ht="15" customHeight="1" x14ac:dyDescent="0.25"/>
    <row r="5523" ht="15" customHeight="1" x14ac:dyDescent="0.25"/>
    <row r="5524" ht="15" customHeight="1" x14ac:dyDescent="0.25"/>
    <row r="5525" ht="15" customHeight="1" x14ac:dyDescent="0.25"/>
    <row r="5526" ht="15" customHeight="1" x14ac:dyDescent="0.25"/>
    <row r="5527" ht="15" customHeight="1" x14ac:dyDescent="0.25"/>
    <row r="5528" ht="15" customHeight="1" x14ac:dyDescent="0.25"/>
    <row r="5529" ht="15" customHeight="1" x14ac:dyDescent="0.25"/>
    <row r="5530" ht="15" customHeight="1" x14ac:dyDescent="0.25"/>
    <row r="5531" ht="15" customHeight="1" x14ac:dyDescent="0.25"/>
    <row r="5532" ht="15" customHeight="1" x14ac:dyDescent="0.25"/>
    <row r="5533" ht="15" customHeight="1" x14ac:dyDescent="0.25"/>
    <row r="5534" ht="15" customHeight="1" x14ac:dyDescent="0.25"/>
    <row r="5535" ht="15" customHeight="1" x14ac:dyDescent="0.25"/>
    <row r="5536" ht="15" customHeight="1" x14ac:dyDescent="0.25"/>
    <row r="5537" ht="15" customHeight="1" x14ac:dyDescent="0.25"/>
    <row r="5538" ht="15" customHeight="1" x14ac:dyDescent="0.25"/>
    <row r="5539" ht="15" customHeight="1" x14ac:dyDescent="0.25"/>
    <row r="5540" ht="15" customHeight="1" x14ac:dyDescent="0.25"/>
    <row r="5541" ht="15" customHeight="1" x14ac:dyDescent="0.25"/>
    <row r="5542" ht="15" customHeight="1" x14ac:dyDescent="0.25"/>
    <row r="5543" ht="15" customHeight="1" x14ac:dyDescent="0.25"/>
    <row r="5544" ht="15" customHeight="1" x14ac:dyDescent="0.25"/>
    <row r="5545" ht="15" customHeight="1" x14ac:dyDescent="0.25"/>
    <row r="5546" ht="15" customHeight="1" x14ac:dyDescent="0.25"/>
    <row r="5547" ht="15" customHeight="1" x14ac:dyDescent="0.25"/>
    <row r="5548" ht="15" customHeight="1" x14ac:dyDescent="0.25"/>
    <row r="5549" ht="15" customHeight="1" x14ac:dyDescent="0.25"/>
    <row r="5550" ht="15" customHeight="1" x14ac:dyDescent="0.25"/>
    <row r="5551" ht="15" customHeight="1" x14ac:dyDescent="0.25"/>
    <row r="5552" ht="15" customHeight="1" x14ac:dyDescent="0.25"/>
    <row r="5553" ht="15" customHeight="1" x14ac:dyDescent="0.25"/>
    <row r="5554" ht="15" customHeight="1" x14ac:dyDescent="0.25"/>
    <row r="5555" ht="15" customHeight="1" x14ac:dyDescent="0.25"/>
    <row r="5556" ht="15" customHeight="1" x14ac:dyDescent="0.25"/>
    <row r="5557" ht="15" customHeight="1" x14ac:dyDescent="0.25"/>
    <row r="5558" ht="15" customHeight="1" x14ac:dyDescent="0.25"/>
    <row r="5559" ht="15" customHeight="1" x14ac:dyDescent="0.25"/>
    <row r="5560" ht="15" customHeight="1" x14ac:dyDescent="0.25"/>
    <row r="5561" ht="15" customHeight="1" x14ac:dyDescent="0.25"/>
    <row r="5562" ht="15" customHeight="1" x14ac:dyDescent="0.25"/>
    <row r="5563" ht="15" customHeight="1" x14ac:dyDescent="0.25"/>
    <row r="5564" ht="15" customHeight="1" x14ac:dyDescent="0.25"/>
    <row r="5565" ht="15" customHeight="1" x14ac:dyDescent="0.25"/>
    <row r="5566" ht="15" customHeight="1" x14ac:dyDescent="0.25"/>
    <row r="5567" ht="15" customHeight="1" x14ac:dyDescent="0.25"/>
    <row r="5568" ht="15" customHeight="1" x14ac:dyDescent="0.25"/>
    <row r="5569" ht="15" customHeight="1" x14ac:dyDescent="0.25"/>
    <row r="5570" ht="15" customHeight="1" x14ac:dyDescent="0.25"/>
    <row r="5571" ht="15" customHeight="1" x14ac:dyDescent="0.25"/>
    <row r="5572" ht="15" customHeight="1" x14ac:dyDescent="0.25"/>
    <row r="5573" ht="15" customHeight="1" x14ac:dyDescent="0.25"/>
    <row r="5574" ht="15" customHeight="1" x14ac:dyDescent="0.25"/>
    <row r="5575" ht="15" customHeight="1" x14ac:dyDescent="0.25"/>
    <row r="5576" ht="15" customHeight="1" x14ac:dyDescent="0.25"/>
    <row r="5577" ht="15" customHeight="1" x14ac:dyDescent="0.25"/>
    <row r="5578" ht="15" customHeight="1" x14ac:dyDescent="0.25"/>
    <row r="5579" ht="15" customHeight="1" x14ac:dyDescent="0.25"/>
    <row r="5580" ht="15" customHeight="1" x14ac:dyDescent="0.25"/>
    <row r="5581" ht="15" customHeight="1" x14ac:dyDescent="0.25"/>
    <row r="5582" ht="15" customHeight="1" x14ac:dyDescent="0.25"/>
    <row r="5583" ht="15" customHeight="1" x14ac:dyDescent="0.25"/>
    <row r="5584" ht="15" customHeight="1" x14ac:dyDescent="0.25"/>
    <row r="5585" ht="15" customHeight="1" x14ac:dyDescent="0.25"/>
    <row r="5586" ht="15" customHeight="1" x14ac:dyDescent="0.25"/>
    <row r="5587" ht="15" customHeight="1" x14ac:dyDescent="0.25"/>
    <row r="5588" ht="15" customHeight="1" x14ac:dyDescent="0.25"/>
    <row r="5589" ht="15" customHeight="1" x14ac:dyDescent="0.25"/>
    <row r="5590" ht="15" customHeight="1" x14ac:dyDescent="0.25"/>
    <row r="5591" ht="15" customHeight="1" x14ac:dyDescent="0.25"/>
    <row r="5592" ht="15" customHeight="1" x14ac:dyDescent="0.25"/>
    <row r="5593" ht="15" customHeight="1" x14ac:dyDescent="0.25"/>
    <row r="5594" ht="15" customHeight="1" x14ac:dyDescent="0.25"/>
    <row r="5595" ht="15" customHeight="1" x14ac:dyDescent="0.25"/>
    <row r="5596" ht="15" customHeight="1" x14ac:dyDescent="0.25"/>
    <row r="5597" ht="15" customHeight="1" x14ac:dyDescent="0.25"/>
    <row r="5598" ht="15" customHeight="1" x14ac:dyDescent="0.25"/>
    <row r="5599" ht="15" customHeight="1" x14ac:dyDescent="0.25"/>
    <row r="5600" ht="15" customHeight="1" x14ac:dyDescent="0.25"/>
    <row r="5601" ht="15" customHeight="1" x14ac:dyDescent="0.25"/>
    <row r="5602" ht="15" customHeight="1" x14ac:dyDescent="0.25"/>
    <row r="5603" ht="15" customHeight="1" x14ac:dyDescent="0.25"/>
    <row r="5604" ht="15" customHeight="1" x14ac:dyDescent="0.25"/>
    <row r="5605" ht="15" customHeight="1" x14ac:dyDescent="0.25"/>
    <row r="5606" ht="15" customHeight="1" x14ac:dyDescent="0.25"/>
    <row r="5607" ht="15" customHeight="1" x14ac:dyDescent="0.25"/>
    <row r="5608" ht="15" customHeight="1" x14ac:dyDescent="0.25"/>
    <row r="5609" ht="15" customHeight="1" x14ac:dyDescent="0.25"/>
    <row r="5610" ht="15" customHeight="1" x14ac:dyDescent="0.25"/>
    <row r="5611" ht="15" customHeight="1" x14ac:dyDescent="0.25"/>
    <row r="5612" ht="15" customHeight="1" x14ac:dyDescent="0.25"/>
    <row r="5613" ht="15" customHeight="1" x14ac:dyDescent="0.25"/>
    <row r="5614" ht="15" customHeight="1" x14ac:dyDescent="0.25"/>
    <row r="5615" ht="15" customHeight="1" x14ac:dyDescent="0.25"/>
    <row r="5616" ht="15" customHeight="1" x14ac:dyDescent="0.25"/>
    <row r="5617" ht="15" customHeight="1" x14ac:dyDescent="0.25"/>
    <row r="5618" ht="15" customHeight="1" x14ac:dyDescent="0.25"/>
    <row r="5619" ht="15" customHeight="1" x14ac:dyDescent="0.25"/>
    <row r="5620" ht="15" customHeight="1" x14ac:dyDescent="0.25"/>
    <row r="5621" ht="15" customHeight="1" x14ac:dyDescent="0.25"/>
    <row r="5622" ht="15" customHeight="1" x14ac:dyDescent="0.25"/>
    <row r="5623" ht="15" customHeight="1" x14ac:dyDescent="0.25"/>
    <row r="5624" ht="15" customHeight="1" x14ac:dyDescent="0.25"/>
    <row r="5625" ht="15" customHeight="1" x14ac:dyDescent="0.25"/>
    <row r="5626" ht="15" customHeight="1" x14ac:dyDescent="0.25"/>
    <row r="5627" ht="15" customHeight="1" x14ac:dyDescent="0.25"/>
    <row r="5628" ht="15" customHeight="1" x14ac:dyDescent="0.25"/>
    <row r="5629" ht="15" customHeight="1" x14ac:dyDescent="0.25"/>
    <row r="5630" ht="15" customHeight="1" x14ac:dyDescent="0.25"/>
    <row r="5631" ht="15" customHeight="1" x14ac:dyDescent="0.25"/>
    <row r="5632" ht="15" customHeight="1" x14ac:dyDescent="0.25"/>
    <row r="5633" ht="15" customHeight="1" x14ac:dyDescent="0.25"/>
    <row r="5634" ht="15" customHeight="1" x14ac:dyDescent="0.25"/>
    <row r="5635" ht="15" customHeight="1" x14ac:dyDescent="0.25"/>
    <row r="5636" ht="15" customHeight="1" x14ac:dyDescent="0.25"/>
    <row r="5637" ht="15" customHeight="1" x14ac:dyDescent="0.25"/>
    <row r="5638" ht="15" customHeight="1" x14ac:dyDescent="0.25"/>
    <row r="5639" ht="15" customHeight="1" x14ac:dyDescent="0.25"/>
    <row r="5640" ht="15" customHeight="1" x14ac:dyDescent="0.25"/>
    <row r="5641" ht="15" customHeight="1" x14ac:dyDescent="0.25"/>
    <row r="5642" ht="15" customHeight="1" x14ac:dyDescent="0.25"/>
    <row r="5643" ht="15" customHeight="1" x14ac:dyDescent="0.25"/>
    <row r="5644" ht="15" customHeight="1" x14ac:dyDescent="0.25"/>
    <row r="5645" ht="15" customHeight="1" x14ac:dyDescent="0.25"/>
    <row r="5646" ht="15" customHeight="1" x14ac:dyDescent="0.25"/>
    <row r="5647" ht="15" customHeight="1" x14ac:dyDescent="0.25"/>
    <row r="5648" ht="15" customHeight="1" x14ac:dyDescent="0.25"/>
    <row r="5649" ht="15" customHeight="1" x14ac:dyDescent="0.25"/>
    <row r="5650" ht="15" customHeight="1" x14ac:dyDescent="0.25"/>
    <row r="5651" ht="15" customHeight="1" x14ac:dyDescent="0.25"/>
    <row r="5652" ht="15" customHeight="1" x14ac:dyDescent="0.25"/>
    <row r="5653" ht="15" customHeight="1" x14ac:dyDescent="0.25"/>
    <row r="5654" ht="15" customHeight="1" x14ac:dyDescent="0.25"/>
    <row r="5655" ht="15" customHeight="1" x14ac:dyDescent="0.25"/>
    <row r="5656" ht="15" customHeight="1" x14ac:dyDescent="0.25"/>
    <row r="5657" ht="15" customHeight="1" x14ac:dyDescent="0.25"/>
    <row r="5658" ht="15" customHeight="1" x14ac:dyDescent="0.25"/>
    <row r="5659" ht="15" customHeight="1" x14ac:dyDescent="0.25"/>
    <row r="5660" ht="15" customHeight="1" x14ac:dyDescent="0.25"/>
    <row r="5661" ht="15" customHeight="1" x14ac:dyDescent="0.25"/>
    <row r="5662" ht="15" customHeight="1" x14ac:dyDescent="0.25"/>
    <row r="5663" ht="15" customHeight="1" x14ac:dyDescent="0.25"/>
    <row r="5664" ht="15" customHeight="1" x14ac:dyDescent="0.25"/>
    <row r="5665" ht="15" customHeight="1" x14ac:dyDescent="0.25"/>
    <row r="5666" ht="15" customHeight="1" x14ac:dyDescent="0.25"/>
    <row r="5667" ht="15" customHeight="1" x14ac:dyDescent="0.25"/>
    <row r="5668" ht="15" customHeight="1" x14ac:dyDescent="0.25"/>
    <row r="5669" ht="15" customHeight="1" x14ac:dyDescent="0.25"/>
    <row r="5670" ht="15" customHeight="1" x14ac:dyDescent="0.25"/>
    <row r="5671" ht="15" customHeight="1" x14ac:dyDescent="0.25"/>
    <row r="5672" ht="15" customHeight="1" x14ac:dyDescent="0.25"/>
    <row r="5673" ht="15" customHeight="1" x14ac:dyDescent="0.25"/>
    <row r="5674" ht="15" customHeight="1" x14ac:dyDescent="0.25"/>
    <row r="5675" ht="15" customHeight="1" x14ac:dyDescent="0.25"/>
    <row r="5676" ht="15" customHeight="1" x14ac:dyDescent="0.25"/>
    <row r="5677" ht="15" customHeight="1" x14ac:dyDescent="0.25"/>
    <row r="5678" ht="15" customHeight="1" x14ac:dyDescent="0.25"/>
    <row r="5679" ht="15" customHeight="1" x14ac:dyDescent="0.25"/>
    <row r="5680" ht="15" customHeight="1" x14ac:dyDescent="0.25"/>
    <row r="5681" ht="15" customHeight="1" x14ac:dyDescent="0.25"/>
    <row r="5682" ht="15" customHeight="1" x14ac:dyDescent="0.25"/>
    <row r="5683" ht="15" customHeight="1" x14ac:dyDescent="0.25"/>
    <row r="5684" ht="15" customHeight="1" x14ac:dyDescent="0.25"/>
    <row r="5685" ht="15" customHeight="1" x14ac:dyDescent="0.25"/>
    <row r="5686" ht="15" customHeight="1" x14ac:dyDescent="0.25"/>
    <row r="5687" ht="15" customHeight="1" x14ac:dyDescent="0.25"/>
    <row r="5688" ht="15" customHeight="1" x14ac:dyDescent="0.25"/>
    <row r="5689" ht="15" customHeight="1" x14ac:dyDescent="0.25"/>
    <row r="5690" ht="15" customHeight="1" x14ac:dyDescent="0.25"/>
    <row r="5691" ht="15" customHeight="1" x14ac:dyDescent="0.25"/>
    <row r="5692" ht="15" customHeight="1" x14ac:dyDescent="0.25"/>
    <row r="5693" ht="15" customHeight="1" x14ac:dyDescent="0.25"/>
    <row r="5694" ht="15" customHeight="1" x14ac:dyDescent="0.25"/>
    <row r="5695" ht="15" customHeight="1" x14ac:dyDescent="0.25"/>
    <row r="5696" ht="15" customHeight="1" x14ac:dyDescent="0.25"/>
    <row r="5697" ht="15" customHeight="1" x14ac:dyDescent="0.25"/>
    <row r="5698" ht="15" customHeight="1" x14ac:dyDescent="0.25"/>
    <row r="5699" ht="15" customHeight="1" x14ac:dyDescent="0.25"/>
    <row r="5700" ht="15" customHeight="1" x14ac:dyDescent="0.25"/>
    <row r="5701" ht="15" customHeight="1" x14ac:dyDescent="0.25"/>
    <row r="5702" ht="15" customHeight="1" x14ac:dyDescent="0.25"/>
    <row r="5703" ht="15" customHeight="1" x14ac:dyDescent="0.25"/>
    <row r="5704" ht="15" customHeight="1" x14ac:dyDescent="0.25"/>
    <row r="5705" ht="15" customHeight="1" x14ac:dyDescent="0.25"/>
    <row r="5706" ht="15" customHeight="1" x14ac:dyDescent="0.25"/>
    <row r="5707" ht="15" customHeight="1" x14ac:dyDescent="0.25"/>
    <row r="5708" ht="15" customHeight="1" x14ac:dyDescent="0.25"/>
    <row r="5709" ht="15" customHeight="1" x14ac:dyDescent="0.25"/>
    <row r="5710" ht="15" customHeight="1" x14ac:dyDescent="0.25"/>
    <row r="5711" ht="15" customHeight="1" x14ac:dyDescent="0.25"/>
    <row r="5712" ht="15" customHeight="1" x14ac:dyDescent="0.25"/>
    <row r="5713" ht="15" customHeight="1" x14ac:dyDescent="0.25"/>
    <row r="5714" ht="15" customHeight="1" x14ac:dyDescent="0.25"/>
    <row r="5715" ht="15" customHeight="1" x14ac:dyDescent="0.25"/>
    <row r="5716" ht="15" customHeight="1" x14ac:dyDescent="0.25"/>
    <row r="5717" ht="15" customHeight="1" x14ac:dyDescent="0.25"/>
    <row r="5718" ht="15" customHeight="1" x14ac:dyDescent="0.25"/>
    <row r="5719" ht="15" customHeight="1" x14ac:dyDescent="0.25"/>
    <row r="5720" ht="15" customHeight="1" x14ac:dyDescent="0.25"/>
    <row r="5721" ht="15" customHeight="1" x14ac:dyDescent="0.25"/>
    <row r="5722" ht="15" customHeight="1" x14ac:dyDescent="0.25"/>
    <row r="5723" ht="15" customHeight="1" x14ac:dyDescent="0.25"/>
    <row r="5724" ht="15" customHeight="1" x14ac:dyDescent="0.25"/>
    <row r="5725" ht="15" customHeight="1" x14ac:dyDescent="0.25"/>
    <row r="5726" ht="15" customHeight="1" x14ac:dyDescent="0.25"/>
    <row r="5727" ht="15" customHeight="1" x14ac:dyDescent="0.25"/>
    <row r="5728" ht="15" customHeight="1" x14ac:dyDescent="0.25"/>
    <row r="5729" ht="15" customHeight="1" x14ac:dyDescent="0.25"/>
    <row r="5730" ht="15" customHeight="1" x14ac:dyDescent="0.25"/>
    <row r="5731" ht="15" customHeight="1" x14ac:dyDescent="0.25"/>
    <row r="5732" ht="15" customHeight="1" x14ac:dyDescent="0.25"/>
    <row r="5733" ht="15" customHeight="1" x14ac:dyDescent="0.25"/>
    <row r="5734" ht="15" customHeight="1" x14ac:dyDescent="0.25"/>
    <row r="5735" ht="15" customHeight="1" x14ac:dyDescent="0.25"/>
    <row r="5736" ht="15" customHeight="1" x14ac:dyDescent="0.25"/>
    <row r="5737" ht="15" customHeight="1" x14ac:dyDescent="0.25"/>
    <row r="5738" ht="15" customHeight="1" x14ac:dyDescent="0.25"/>
    <row r="5739" ht="15" customHeight="1" x14ac:dyDescent="0.25"/>
    <row r="5740" ht="15" customHeight="1" x14ac:dyDescent="0.25"/>
    <row r="5741" ht="15" customHeight="1" x14ac:dyDescent="0.25"/>
    <row r="5742" ht="15" customHeight="1" x14ac:dyDescent="0.25"/>
    <row r="5743" ht="15" customHeight="1" x14ac:dyDescent="0.25"/>
    <row r="5744" ht="15" customHeight="1" x14ac:dyDescent="0.25"/>
    <row r="5745" ht="15" customHeight="1" x14ac:dyDescent="0.25"/>
    <row r="5746" ht="15" customHeight="1" x14ac:dyDescent="0.25"/>
    <row r="5747" ht="15" customHeight="1" x14ac:dyDescent="0.25"/>
    <row r="5748" ht="15" customHeight="1" x14ac:dyDescent="0.25"/>
    <row r="5749" ht="15" customHeight="1" x14ac:dyDescent="0.25"/>
    <row r="5750" ht="15" customHeight="1" x14ac:dyDescent="0.25"/>
    <row r="5751" ht="15" customHeight="1" x14ac:dyDescent="0.25"/>
    <row r="5752" ht="15" customHeight="1" x14ac:dyDescent="0.25"/>
    <row r="5753" ht="15" customHeight="1" x14ac:dyDescent="0.25"/>
    <row r="5754" ht="15" customHeight="1" x14ac:dyDescent="0.25"/>
    <row r="5755" ht="15" customHeight="1" x14ac:dyDescent="0.25"/>
    <row r="5756" ht="15" customHeight="1" x14ac:dyDescent="0.25"/>
    <row r="5757" ht="15" customHeight="1" x14ac:dyDescent="0.25"/>
    <row r="5758" ht="15" customHeight="1" x14ac:dyDescent="0.25"/>
    <row r="5759" ht="15" customHeight="1" x14ac:dyDescent="0.25"/>
    <row r="5760" ht="15" customHeight="1" x14ac:dyDescent="0.25"/>
    <row r="5761" ht="15" customHeight="1" x14ac:dyDescent="0.25"/>
    <row r="5762" ht="15" customHeight="1" x14ac:dyDescent="0.25"/>
    <row r="5763" ht="15" customHeight="1" x14ac:dyDescent="0.25"/>
    <row r="5764" ht="15" customHeight="1" x14ac:dyDescent="0.25"/>
    <row r="5765" ht="15" customHeight="1" x14ac:dyDescent="0.25"/>
    <row r="5766" ht="15" customHeight="1" x14ac:dyDescent="0.25"/>
    <row r="5767" ht="15" customHeight="1" x14ac:dyDescent="0.25"/>
    <row r="5768" ht="15" customHeight="1" x14ac:dyDescent="0.25"/>
    <row r="5769" ht="15" customHeight="1" x14ac:dyDescent="0.25"/>
    <row r="5770" ht="15" customHeight="1" x14ac:dyDescent="0.25"/>
    <row r="5771" ht="15" customHeight="1" x14ac:dyDescent="0.25"/>
    <row r="5772" ht="15" customHeight="1" x14ac:dyDescent="0.25"/>
    <row r="5773" ht="15" customHeight="1" x14ac:dyDescent="0.25"/>
    <row r="5774" ht="15" customHeight="1" x14ac:dyDescent="0.25"/>
    <row r="5775" ht="15" customHeight="1" x14ac:dyDescent="0.25"/>
    <row r="5776" ht="15" customHeight="1" x14ac:dyDescent="0.25"/>
    <row r="5777" ht="15" customHeight="1" x14ac:dyDescent="0.25"/>
    <row r="5778" ht="15" customHeight="1" x14ac:dyDescent="0.25"/>
    <row r="5779" ht="15" customHeight="1" x14ac:dyDescent="0.25"/>
    <row r="5780" ht="15" customHeight="1" x14ac:dyDescent="0.25"/>
    <row r="5781" ht="15" customHeight="1" x14ac:dyDescent="0.25"/>
    <row r="5782" ht="15" customHeight="1" x14ac:dyDescent="0.25"/>
    <row r="5783" ht="15" customHeight="1" x14ac:dyDescent="0.25"/>
    <row r="5784" ht="15" customHeight="1" x14ac:dyDescent="0.25"/>
    <row r="5785" ht="15" customHeight="1" x14ac:dyDescent="0.25"/>
    <row r="5786" ht="15" customHeight="1" x14ac:dyDescent="0.25"/>
    <row r="5787" ht="15" customHeight="1" x14ac:dyDescent="0.25"/>
    <row r="5788" ht="15" customHeight="1" x14ac:dyDescent="0.25"/>
    <row r="5789" ht="15" customHeight="1" x14ac:dyDescent="0.25"/>
    <row r="5790" ht="15" customHeight="1" x14ac:dyDescent="0.25"/>
    <row r="5791" ht="15" customHeight="1" x14ac:dyDescent="0.25"/>
    <row r="5792" ht="15" customHeight="1" x14ac:dyDescent="0.25"/>
    <row r="5793" ht="15" customHeight="1" x14ac:dyDescent="0.25"/>
    <row r="5794" ht="15" customHeight="1" x14ac:dyDescent="0.25"/>
    <row r="5795" ht="15" customHeight="1" x14ac:dyDescent="0.25"/>
    <row r="5796" ht="15" customHeight="1" x14ac:dyDescent="0.25"/>
    <row r="5797" ht="15" customHeight="1" x14ac:dyDescent="0.25"/>
    <row r="5798" ht="15" customHeight="1" x14ac:dyDescent="0.25"/>
    <row r="5799" ht="15" customHeight="1" x14ac:dyDescent="0.25"/>
    <row r="5800" ht="15" customHeight="1" x14ac:dyDescent="0.25"/>
    <row r="5801" ht="15" customHeight="1" x14ac:dyDescent="0.25"/>
    <row r="5802" ht="15" customHeight="1" x14ac:dyDescent="0.25"/>
    <row r="5803" ht="15" customHeight="1" x14ac:dyDescent="0.25"/>
    <row r="5804" ht="15" customHeight="1" x14ac:dyDescent="0.25"/>
    <row r="5805" ht="15" customHeight="1" x14ac:dyDescent="0.25"/>
    <row r="5806" ht="15" customHeight="1" x14ac:dyDescent="0.25"/>
    <row r="5807" ht="15" customHeight="1" x14ac:dyDescent="0.25"/>
    <row r="5808" ht="15" customHeight="1" x14ac:dyDescent="0.25"/>
    <row r="5809" ht="15" customHeight="1" x14ac:dyDescent="0.25"/>
    <row r="5810" ht="15" customHeight="1" x14ac:dyDescent="0.25"/>
    <row r="5811" ht="15" customHeight="1" x14ac:dyDescent="0.25"/>
    <row r="5812" ht="15" customHeight="1" x14ac:dyDescent="0.25"/>
    <row r="5813" ht="15" customHeight="1" x14ac:dyDescent="0.25"/>
    <row r="5814" ht="15" customHeight="1" x14ac:dyDescent="0.25"/>
    <row r="5815" ht="15" customHeight="1" x14ac:dyDescent="0.25"/>
    <row r="5816" ht="15" customHeight="1" x14ac:dyDescent="0.25"/>
    <row r="5817" ht="15" customHeight="1" x14ac:dyDescent="0.25"/>
    <row r="5818" ht="15" customHeight="1" x14ac:dyDescent="0.25"/>
    <row r="5819" ht="15" customHeight="1" x14ac:dyDescent="0.25"/>
    <row r="5820" ht="15" customHeight="1" x14ac:dyDescent="0.25"/>
    <row r="5821" ht="15" customHeight="1" x14ac:dyDescent="0.25"/>
    <row r="5822" ht="15" customHeight="1" x14ac:dyDescent="0.25"/>
    <row r="5823" ht="15" customHeight="1" x14ac:dyDescent="0.25"/>
    <row r="5824" ht="15" customHeight="1" x14ac:dyDescent="0.25"/>
    <row r="5825" ht="15" customHeight="1" x14ac:dyDescent="0.25"/>
    <row r="5826" ht="15" customHeight="1" x14ac:dyDescent="0.25"/>
    <row r="5827" ht="15" customHeight="1" x14ac:dyDescent="0.25"/>
    <row r="5828" ht="15" customHeight="1" x14ac:dyDescent="0.25"/>
    <row r="5829" ht="15" customHeight="1" x14ac:dyDescent="0.25"/>
    <row r="5830" ht="15" customHeight="1" x14ac:dyDescent="0.25"/>
    <row r="5831" ht="15" customHeight="1" x14ac:dyDescent="0.25"/>
    <row r="5832" ht="15" customHeight="1" x14ac:dyDescent="0.25"/>
    <row r="5833" ht="15" customHeight="1" x14ac:dyDescent="0.25"/>
    <row r="5834" ht="15" customHeight="1" x14ac:dyDescent="0.25"/>
    <row r="5835" ht="15" customHeight="1" x14ac:dyDescent="0.25"/>
    <row r="5836" ht="15" customHeight="1" x14ac:dyDescent="0.25"/>
    <row r="5837" ht="15" customHeight="1" x14ac:dyDescent="0.25"/>
    <row r="5838" ht="15" customHeight="1" x14ac:dyDescent="0.25"/>
    <row r="5839" ht="15" customHeight="1" x14ac:dyDescent="0.25"/>
    <row r="5840" ht="15" customHeight="1" x14ac:dyDescent="0.25"/>
    <row r="5841" ht="15" customHeight="1" x14ac:dyDescent="0.25"/>
    <row r="5842" ht="15" customHeight="1" x14ac:dyDescent="0.25"/>
    <row r="5843" ht="15" customHeight="1" x14ac:dyDescent="0.25"/>
    <row r="5844" ht="15" customHeight="1" x14ac:dyDescent="0.25"/>
    <row r="5845" ht="15" customHeight="1" x14ac:dyDescent="0.25"/>
    <row r="5846" ht="15" customHeight="1" x14ac:dyDescent="0.25"/>
    <row r="5847" ht="15" customHeight="1" x14ac:dyDescent="0.25"/>
    <row r="5848" ht="15" customHeight="1" x14ac:dyDescent="0.25"/>
    <row r="5849" ht="15" customHeight="1" x14ac:dyDescent="0.25"/>
    <row r="5850" ht="15" customHeight="1" x14ac:dyDescent="0.25"/>
    <row r="5851" ht="15" customHeight="1" x14ac:dyDescent="0.25"/>
    <row r="5852" ht="15" customHeight="1" x14ac:dyDescent="0.25"/>
    <row r="5853" ht="15" customHeight="1" x14ac:dyDescent="0.25"/>
    <row r="5854" ht="15" customHeight="1" x14ac:dyDescent="0.25"/>
    <row r="5855" ht="15" customHeight="1" x14ac:dyDescent="0.25"/>
    <row r="5856" ht="15" customHeight="1" x14ac:dyDescent="0.25"/>
    <row r="5857" ht="15" customHeight="1" x14ac:dyDescent="0.25"/>
    <row r="5858" ht="15" customHeight="1" x14ac:dyDescent="0.25"/>
    <row r="5859" ht="15" customHeight="1" x14ac:dyDescent="0.25"/>
    <row r="5860" ht="15" customHeight="1" x14ac:dyDescent="0.25"/>
    <row r="5861" ht="15" customHeight="1" x14ac:dyDescent="0.25"/>
    <row r="5862" ht="15" customHeight="1" x14ac:dyDescent="0.25"/>
    <row r="5863" ht="15" customHeight="1" x14ac:dyDescent="0.25"/>
    <row r="5864" ht="15" customHeight="1" x14ac:dyDescent="0.25"/>
    <row r="5865" ht="15" customHeight="1" x14ac:dyDescent="0.25"/>
    <row r="5866" ht="15" customHeight="1" x14ac:dyDescent="0.25"/>
    <row r="5867" ht="15" customHeight="1" x14ac:dyDescent="0.25"/>
    <row r="5868" ht="15" customHeight="1" x14ac:dyDescent="0.25"/>
    <row r="5869" ht="15" customHeight="1" x14ac:dyDescent="0.25"/>
    <row r="5870" ht="15" customHeight="1" x14ac:dyDescent="0.25"/>
    <row r="5871" ht="15" customHeight="1" x14ac:dyDescent="0.25"/>
    <row r="5872" ht="15" customHeight="1" x14ac:dyDescent="0.25"/>
    <row r="5873" ht="15" customHeight="1" x14ac:dyDescent="0.25"/>
    <row r="5874" ht="15" customHeight="1" x14ac:dyDescent="0.25"/>
    <row r="5875" ht="15" customHeight="1" x14ac:dyDescent="0.25"/>
    <row r="5876" ht="15" customHeight="1" x14ac:dyDescent="0.25"/>
    <row r="5877" ht="15" customHeight="1" x14ac:dyDescent="0.25"/>
    <row r="5878" ht="15" customHeight="1" x14ac:dyDescent="0.25"/>
    <row r="5879" ht="15" customHeight="1" x14ac:dyDescent="0.25"/>
    <row r="5880" ht="15" customHeight="1" x14ac:dyDescent="0.25"/>
    <row r="5881" ht="15" customHeight="1" x14ac:dyDescent="0.25"/>
    <row r="5882" ht="15" customHeight="1" x14ac:dyDescent="0.25"/>
    <row r="5883" ht="15" customHeight="1" x14ac:dyDescent="0.25"/>
    <row r="5884" ht="15" customHeight="1" x14ac:dyDescent="0.25"/>
    <row r="5885" ht="15" customHeight="1" x14ac:dyDescent="0.25"/>
    <row r="5886" ht="15" customHeight="1" x14ac:dyDescent="0.25"/>
    <row r="5887" ht="15" customHeight="1" x14ac:dyDescent="0.25"/>
    <row r="5888" ht="15" customHeight="1" x14ac:dyDescent="0.25"/>
    <row r="5889" ht="15" customHeight="1" x14ac:dyDescent="0.25"/>
    <row r="5890" ht="15" customHeight="1" x14ac:dyDescent="0.25"/>
    <row r="5891" ht="15" customHeight="1" x14ac:dyDescent="0.25"/>
    <row r="5892" ht="15" customHeight="1" x14ac:dyDescent="0.25"/>
    <row r="5893" ht="15" customHeight="1" x14ac:dyDescent="0.25"/>
    <row r="5894" ht="15" customHeight="1" x14ac:dyDescent="0.25"/>
    <row r="5895" ht="15" customHeight="1" x14ac:dyDescent="0.25"/>
    <row r="5896" ht="15" customHeight="1" x14ac:dyDescent="0.25"/>
    <row r="5897" ht="15" customHeight="1" x14ac:dyDescent="0.25"/>
    <row r="5898" ht="15" customHeight="1" x14ac:dyDescent="0.25"/>
    <row r="5899" ht="15" customHeight="1" x14ac:dyDescent="0.25"/>
    <row r="5900" ht="15" customHeight="1" x14ac:dyDescent="0.25"/>
    <row r="5901" ht="15" customHeight="1" x14ac:dyDescent="0.25"/>
    <row r="5902" ht="15" customHeight="1" x14ac:dyDescent="0.25"/>
    <row r="5903" ht="15" customHeight="1" x14ac:dyDescent="0.25"/>
    <row r="5904" ht="15" customHeight="1" x14ac:dyDescent="0.25"/>
    <row r="5905" ht="15" customHeight="1" x14ac:dyDescent="0.25"/>
    <row r="5906" ht="15" customHeight="1" x14ac:dyDescent="0.25"/>
    <row r="5907" ht="15" customHeight="1" x14ac:dyDescent="0.25"/>
    <row r="5908" ht="15" customHeight="1" x14ac:dyDescent="0.25"/>
    <row r="5909" ht="15" customHeight="1" x14ac:dyDescent="0.25"/>
    <row r="5910" ht="15" customHeight="1" x14ac:dyDescent="0.25"/>
    <row r="5911" ht="15" customHeight="1" x14ac:dyDescent="0.25"/>
    <row r="5912" ht="15" customHeight="1" x14ac:dyDescent="0.25"/>
    <row r="5913" ht="15" customHeight="1" x14ac:dyDescent="0.25"/>
    <row r="5914" ht="15" customHeight="1" x14ac:dyDescent="0.25"/>
    <row r="5915" ht="15" customHeight="1" x14ac:dyDescent="0.25"/>
    <row r="5916" ht="15" customHeight="1" x14ac:dyDescent="0.25"/>
    <row r="5917" ht="15" customHeight="1" x14ac:dyDescent="0.25"/>
    <row r="5918" ht="15" customHeight="1" x14ac:dyDescent="0.25"/>
    <row r="5919" ht="15" customHeight="1" x14ac:dyDescent="0.25"/>
    <row r="5920" ht="15" customHeight="1" x14ac:dyDescent="0.25"/>
    <row r="5921" ht="15" customHeight="1" x14ac:dyDescent="0.25"/>
    <row r="5922" ht="15" customHeight="1" x14ac:dyDescent="0.25"/>
    <row r="5923" ht="15" customHeight="1" x14ac:dyDescent="0.25"/>
    <row r="5924" ht="15" customHeight="1" x14ac:dyDescent="0.25"/>
    <row r="5925" ht="15" customHeight="1" x14ac:dyDescent="0.25"/>
    <row r="5926" ht="15" customHeight="1" x14ac:dyDescent="0.25"/>
    <row r="5927" ht="15" customHeight="1" x14ac:dyDescent="0.25"/>
    <row r="5928" ht="15" customHeight="1" x14ac:dyDescent="0.25"/>
    <row r="5929" ht="15" customHeight="1" x14ac:dyDescent="0.25"/>
    <row r="5930" ht="15" customHeight="1" x14ac:dyDescent="0.25"/>
    <row r="5931" ht="15" customHeight="1" x14ac:dyDescent="0.25"/>
    <row r="5932" ht="15" customHeight="1" x14ac:dyDescent="0.25"/>
    <row r="5933" ht="15" customHeight="1" x14ac:dyDescent="0.25"/>
    <row r="5934" ht="15" customHeight="1" x14ac:dyDescent="0.25"/>
    <row r="5935" ht="15" customHeight="1" x14ac:dyDescent="0.25"/>
    <row r="5936" ht="15" customHeight="1" x14ac:dyDescent="0.25"/>
    <row r="5937" ht="15" customHeight="1" x14ac:dyDescent="0.25"/>
    <row r="5938" ht="15" customHeight="1" x14ac:dyDescent="0.25"/>
    <row r="5939" ht="15" customHeight="1" x14ac:dyDescent="0.25"/>
    <row r="5940" ht="15" customHeight="1" x14ac:dyDescent="0.25"/>
    <row r="5941" ht="15" customHeight="1" x14ac:dyDescent="0.25"/>
    <row r="5942" ht="15" customHeight="1" x14ac:dyDescent="0.25"/>
    <row r="5943" ht="15" customHeight="1" x14ac:dyDescent="0.25"/>
    <row r="5944" ht="15" customHeight="1" x14ac:dyDescent="0.25"/>
    <row r="5945" ht="15" customHeight="1" x14ac:dyDescent="0.25"/>
    <row r="5946" ht="15" customHeight="1" x14ac:dyDescent="0.25"/>
    <row r="5947" ht="15" customHeight="1" x14ac:dyDescent="0.25"/>
    <row r="5948" ht="15" customHeight="1" x14ac:dyDescent="0.25"/>
    <row r="5949" ht="15" customHeight="1" x14ac:dyDescent="0.25"/>
    <row r="5950" ht="15" customHeight="1" x14ac:dyDescent="0.25"/>
    <row r="5951" ht="15" customHeight="1" x14ac:dyDescent="0.25"/>
    <row r="5952" ht="15" customHeight="1" x14ac:dyDescent="0.25"/>
    <row r="5953" ht="15" customHeight="1" x14ac:dyDescent="0.25"/>
    <row r="5954" ht="15" customHeight="1" x14ac:dyDescent="0.25"/>
    <row r="5955" ht="15" customHeight="1" x14ac:dyDescent="0.25"/>
    <row r="5956" ht="15" customHeight="1" x14ac:dyDescent="0.25"/>
    <row r="5957" ht="15" customHeight="1" x14ac:dyDescent="0.25"/>
    <row r="5958" ht="15" customHeight="1" x14ac:dyDescent="0.25"/>
    <row r="5959" ht="15" customHeight="1" x14ac:dyDescent="0.25"/>
    <row r="5960" ht="15" customHeight="1" x14ac:dyDescent="0.25"/>
    <row r="5961" ht="15" customHeight="1" x14ac:dyDescent="0.25"/>
    <row r="5962" ht="15" customHeight="1" x14ac:dyDescent="0.25"/>
    <row r="5963" ht="15" customHeight="1" x14ac:dyDescent="0.25"/>
    <row r="5964" ht="15" customHeight="1" x14ac:dyDescent="0.25"/>
    <row r="5965" ht="15" customHeight="1" x14ac:dyDescent="0.25"/>
    <row r="5966" ht="15" customHeight="1" x14ac:dyDescent="0.25"/>
    <row r="5967" ht="15" customHeight="1" x14ac:dyDescent="0.25"/>
    <row r="5968" ht="15" customHeight="1" x14ac:dyDescent="0.25"/>
    <row r="5969" ht="15" customHeight="1" x14ac:dyDescent="0.25"/>
    <row r="5970" ht="15" customHeight="1" x14ac:dyDescent="0.25"/>
    <row r="5971" ht="15" customHeight="1" x14ac:dyDescent="0.25"/>
    <row r="5972" ht="15" customHeight="1" x14ac:dyDescent="0.25"/>
    <row r="5973" ht="15" customHeight="1" x14ac:dyDescent="0.25"/>
    <row r="5974" ht="15" customHeight="1" x14ac:dyDescent="0.25"/>
    <row r="5975" ht="15" customHeight="1" x14ac:dyDescent="0.25"/>
    <row r="5976" ht="15" customHeight="1" x14ac:dyDescent="0.25"/>
    <row r="5977" ht="15" customHeight="1" x14ac:dyDescent="0.25"/>
    <row r="5978" ht="15" customHeight="1" x14ac:dyDescent="0.25"/>
    <row r="5979" ht="15" customHeight="1" x14ac:dyDescent="0.25"/>
    <row r="5980" ht="15" customHeight="1" x14ac:dyDescent="0.25"/>
    <row r="5981" ht="15" customHeight="1" x14ac:dyDescent="0.25"/>
    <row r="5982" ht="15" customHeight="1" x14ac:dyDescent="0.25"/>
    <row r="5983" ht="15" customHeight="1" x14ac:dyDescent="0.25"/>
    <row r="5984" ht="15" customHeight="1" x14ac:dyDescent="0.25"/>
    <row r="5985" ht="15" customHeight="1" x14ac:dyDescent="0.25"/>
    <row r="5986" ht="15" customHeight="1" x14ac:dyDescent="0.25"/>
    <row r="5987" ht="15" customHeight="1" x14ac:dyDescent="0.25"/>
    <row r="5988" ht="15" customHeight="1" x14ac:dyDescent="0.25"/>
    <row r="5989" ht="15" customHeight="1" x14ac:dyDescent="0.25"/>
    <row r="5990" ht="15" customHeight="1" x14ac:dyDescent="0.25"/>
    <row r="5991" ht="15" customHeight="1" x14ac:dyDescent="0.25"/>
    <row r="5992" ht="15" customHeight="1" x14ac:dyDescent="0.25"/>
    <row r="5993" ht="15" customHeight="1" x14ac:dyDescent="0.25"/>
    <row r="5994" ht="15" customHeight="1" x14ac:dyDescent="0.25"/>
    <row r="5995" ht="15" customHeight="1" x14ac:dyDescent="0.25"/>
    <row r="5996" ht="15" customHeight="1" x14ac:dyDescent="0.25"/>
    <row r="5997" ht="15" customHeight="1" x14ac:dyDescent="0.25"/>
    <row r="5998" ht="15" customHeight="1" x14ac:dyDescent="0.25"/>
    <row r="5999" ht="15" customHeight="1" x14ac:dyDescent="0.25"/>
    <row r="6000" ht="15" customHeight="1" x14ac:dyDescent="0.25"/>
    <row r="6001" ht="15" customHeight="1" x14ac:dyDescent="0.25"/>
    <row r="6002" ht="15" customHeight="1" x14ac:dyDescent="0.25"/>
    <row r="6003" ht="15" customHeight="1" x14ac:dyDescent="0.25"/>
    <row r="6004" ht="15" customHeight="1" x14ac:dyDescent="0.25"/>
    <row r="6005" ht="15" customHeight="1" x14ac:dyDescent="0.25"/>
    <row r="6006" ht="15" customHeight="1" x14ac:dyDescent="0.25"/>
    <row r="6007" ht="15" customHeight="1" x14ac:dyDescent="0.25"/>
    <row r="6008" ht="15" customHeight="1" x14ac:dyDescent="0.25"/>
    <row r="6009" ht="15" customHeight="1" x14ac:dyDescent="0.25"/>
    <row r="6010" ht="15" customHeight="1" x14ac:dyDescent="0.25"/>
    <row r="6011" ht="15" customHeight="1" x14ac:dyDescent="0.25"/>
    <row r="6012" ht="15" customHeight="1" x14ac:dyDescent="0.25"/>
    <row r="6013" ht="15" customHeight="1" x14ac:dyDescent="0.25"/>
    <row r="6014" ht="15" customHeight="1" x14ac:dyDescent="0.25"/>
    <row r="6015" ht="15" customHeight="1" x14ac:dyDescent="0.25"/>
    <row r="6016" ht="15" customHeight="1" x14ac:dyDescent="0.25"/>
    <row r="6017" ht="15" customHeight="1" x14ac:dyDescent="0.25"/>
    <row r="6018" ht="15" customHeight="1" x14ac:dyDescent="0.25"/>
    <row r="6019" ht="15" customHeight="1" x14ac:dyDescent="0.25"/>
    <row r="6020" ht="15" customHeight="1" x14ac:dyDescent="0.25"/>
    <row r="6021" ht="15" customHeight="1" x14ac:dyDescent="0.25"/>
    <row r="6022" ht="15" customHeight="1" x14ac:dyDescent="0.25"/>
    <row r="6023" ht="15" customHeight="1" x14ac:dyDescent="0.25"/>
    <row r="6024" ht="15" customHeight="1" x14ac:dyDescent="0.25"/>
    <row r="6025" ht="15" customHeight="1" x14ac:dyDescent="0.25"/>
    <row r="6026" ht="15" customHeight="1" x14ac:dyDescent="0.25"/>
    <row r="6027" ht="15" customHeight="1" x14ac:dyDescent="0.25"/>
    <row r="6028" ht="15" customHeight="1" x14ac:dyDescent="0.25"/>
    <row r="6029" ht="15" customHeight="1" x14ac:dyDescent="0.25"/>
    <row r="6030" ht="15" customHeight="1" x14ac:dyDescent="0.25"/>
    <row r="6031" ht="15" customHeight="1" x14ac:dyDescent="0.25"/>
    <row r="6032" ht="15" customHeight="1" x14ac:dyDescent="0.25"/>
    <row r="6033" ht="15" customHeight="1" x14ac:dyDescent="0.25"/>
    <row r="6034" ht="15" customHeight="1" x14ac:dyDescent="0.25"/>
    <row r="6035" ht="15" customHeight="1" x14ac:dyDescent="0.25"/>
    <row r="6036" ht="15" customHeight="1" x14ac:dyDescent="0.25"/>
    <row r="6037" ht="15" customHeight="1" x14ac:dyDescent="0.25"/>
    <row r="6038" ht="15" customHeight="1" x14ac:dyDescent="0.25"/>
    <row r="6039" ht="15" customHeight="1" x14ac:dyDescent="0.25"/>
    <row r="6040" ht="15" customHeight="1" x14ac:dyDescent="0.25"/>
    <row r="6041" ht="15" customHeight="1" x14ac:dyDescent="0.25"/>
    <row r="6042" ht="15" customHeight="1" x14ac:dyDescent="0.25"/>
    <row r="6043" ht="15" customHeight="1" x14ac:dyDescent="0.25"/>
    <row r="6044" ht="15" customHeight="1" x14ac:dyDescent="0.25"/>
    <row r="6045" ht="15" customHeight="1" x14ac:dyDescent="0.25"/>
    <row r="6046" ht="15" customHeight="1" x14ac:dyDescent="0.25"/>
    <row r="6047" ht="15" customHeight="1" x14ac:dyDescent="0.25"/>
    <row r="6048" ht="15" customHeight="1" x14ac:dyDescent="0.25"/>
    <row r="6049" ht="15" customHeight="1" x14ac:dyDescent="0.25"/>
    <row r="6050" ht="15" customHeight="1" x14ac:dyDescent="0.25"/>
    <row r="6051" ht="15" customHeight="1" x14ac:dyDescent="0.25"/>
    <row r="6052" ht="15" customHeight="1" x14ac:dyDescent="0.25"/>
    <row r="6053" ht="15" customHeight="1" x14ac:dyDescent="0.25"/>
    <row r="6054" ht="15" customHeight="1" x14ac:dyDescent="0.25"/>
    <row r="6055" ht="15" customHeight="1" x14ac:dyDescent="0.25"/>
    <row r="6056" ht="15" customHeight="1" x14ac:dyDescent="0.25"/>
    <row r="6057" ht="15" customHeight="1" x14ac:dyDescent="0.25"/>
    <row r="6058" ht="15" customHeight="1" x14ac:dyDescent="0.25"/>
    <row r="6059" ht="15" customHeight="1" x14ac:dyDescent="0.25"/>
    <row r="6060" ht="15" customHeight="1" x14ac:dyDescent="0.25"/>
    <row r="6061" ht="15" customHeight="1" x14ac:dyDescent="0.25"/>
    <row r="6062" ht="15" customHeight="1" x14ac:dyDescent="0.25"/>
    <row r="6063" ht="15" customHeight="1" x14ac:dyDescent="0.25"/>
    <row r="6064" ht="15" customHeight="1" x14ac:dyDescent="0.25"/>
    <row r="6065" ht="15" customHeight="1" x14ac:dyDescent="0.25"/>
    <row r="6066" ht="15" customHeight="1" x14ac:dyDescent="0.25"/>
    <row r="6067" ht="15" customHeight="1" x14ac:dyDescent="0.25"/>
    <row r="6068" ht="15" customHeight="1" x14ac:dyDescent="0.25"/>
    <row r="6069" ht="15" customHeight="1" x14ac:dyDescent="0.25"/>
    <row r="6070" ht="15" customHeight="1" x14ac:dyDescent="0.25"/>
    <row r="6071" ht="15" customHeight="1" x14ac:dyDescent="0.25"/>
    <row r="6072" ht="15" customHeight="1" x14ac:dyDescent="0.25"/>
    <row r="6073" ht="15" customHeight="1" x14ac:dyDescent="0.25"/>
    <row r="6074" ht="15" customHeight="1" x14ac:dyDescent="0.25"/>
    <row r="6075" ht="15" customHeight="1" x14ac:dyDescent="0.25"/>
    <row r="6076" ht="15" customHeight="1" x14ac:dyDescent="0.25"/>
    <row r="6077" ht="15" customHeight="1" x14ac:dyDescent="0.25"/>
    <row r="6078" ht="15" customHeight="1" x14ac:dyDescent="0.25"/>
    <row r="6079" ht="15" customHeight="1" x14ac:dyDescent="0.25"/>
    <row r="6080" ht="15" customHeight="1" x14ac:dyDescent="0.25"/>
    <row r="6081" ht="15" customHeight="1" x14ac:dyDescent="0.25"/>
    <row r="6082" ht="15" customHeight="1" x14ac:dyDescent="0.25"/>
    <row r="6083" ht="15" customHeight="1" x14ac:dyDescent="0.25"/>
    <row r="6084" ht="15" customHeight="1" x14ac:dyDescent="0.25"/>
    <row r="6085" ht="15" customHeight="1" x14ac:dyDescent="0.25"/>
    <row r="6086" ht="15" customHeight="1" x14ac:dyDescent="0.25"/>
    <row r="6087" ht="15" customHeight="1" x14ac:dyDescent="0.25"/>
    <row r="6088" ht="15" customHeight="1" x14ac:dyDescent="0.25"/>
    <row r="6089" ht="15" customHeight="1" x14ac:dyDescent="0.25"/>
    <row r="6090" ht="15" customHeight="1" x14ac:dyDescent="0.25"/>
    <row r="6091" ht="15" customHeight="1" x14ac:dyDescent="0.25"/>
    <row r="6092" ht="15" customHeight="1" x14ac:dyDescent="0.25"/>
    <row r="6093" ht="15" customHeight="1" x14ac:dyDescent="0.25"/>
    <row r="6094" ht="15" customHeight="1" x14ac:dyDescent="0.25"/>
    <row r="6095" ht="15" customHeight="1" x14ac:dyDescent="0.25"/>
    <row r="6096" ht="15" customHeight="1" x14ac:dyDescent="0.25"/>
    <row r="6097" ht="15" customHeight="1" x14ac:dyDescent="0.25"/>
    <row r="6098" ht="15" customHeight="1" x14ac:dyDescent="0.25"/>
    <row r="6099" ht="15" customHeight="1" x14ac:dyDescent="0.25"/>
    <row r="6100" ht="15" customHeight="1" x14ac:dyDescent="0.25"/>
    <row r="6101" ht="15" customHeight="1" x14ac:dyDescent="0.25"/>
    <row r="6102" ht="15" customHeight="1" x14ac:dyDescent="0.25"/>
    <row r="6103" ht="15" customHeight="1" x14ac:dyDescent="0.25"/>
    <row r="6104" ht="15" customHeight="1" x14ac:dyDescent="0.25"/>
    <row r="6105" ht="15" customHeight="1" x14ac:dyDescent="0.25"/>
    <row r="6106" ht="15" customHeight="1" x14ac:dyDescent="0.25"/>
    <row r="6107" ht="15" customHeight="1" x14ac:dyDescent="0.25"/>
    <row r="6108" ht="15" customHeight="1" x14ac:dyDescent="0.25"/>
    <row r="6109" ht="15" customHeight="1" x14ac:dyDescent="0.25"/>
    <row r="6110" ht="15" customHeight="1" x14ac:dyDescent="0.25"/>
    <row r="6111" ht="15" customHeight="1" x14ac:dyDescent="0.25"/>
    <row r="6112" ht="15" customHeight="1" x14ac:dyDescent="0.25"/>
    <row r="6113" ht="15" customHeight="1" x14ac:dyDescent="0.25"/>
    <row r="6114" ht="15" customHeight="1" x14ac:dyDescent="0.25"/>
    <row r="6115" ht="15" customHeight="1" x14ac:dyDescent="0.25"/>
    <row r="6116" ht="15" customHeight="1" x14ac:dyDescent="0.25"/>
    <row r="6117" ht="15" customHeight="1" x14ac:dyDescent="0.25"/>
    <row r="6118" ht="15" customHeight="1" x14ac:dyDescent="0.25"/>
    <row r="6119" ht="15" customHeight="1" x14ac:dyDescent="0.25"/>
    <row r="6120" ht="15" customHeight="1" x14ac:dyDescent="0.25"/>
    <row r="6121" ht="15" customHeight="1" x14ac:dyDescent="0.25"/>
    <row r="6122" ht="15" customHeight="1" x14ac:dyDescent="0.25"/>
    <row r="6123" ht="15" customHeight="1" x14ac:dyDescent="0.25"/>
    <row r="6124" ht="15" customHeight="1" x14ac:dyDescent="0.25"/>
    <row r="6125" ht="15" customHeight="1" x14ac:dyDescent="0.25"/>
    <row r="6126" ht="15" customHeight="1" x14ac:dyDescent="0.25"/>
    <row r="6127" ht="15" customHeight="1" x14ac:dyDescent="0.25"/>
    <row r="6128" ht="15" customHeight="1" x14ac:dyDescent="0.25"/>
    <row r="6129" ht="15" customHeight="1" x14ac:dyDescent="0.25"/>
    <row r="6130" ht="15" customHeight="1" x14ac:dyDescent="0.25"/>
    <row r="6131" ht="15" customHeight="1" x14ac:dyDescent="0.25"/>
    <row r="6132" ht="15" customHeight="1" x14ac:dyDescent="0.25"/>
    <row r="6133" ht="15" customHeight="1" x14ac:dyDescent="0.25"/>
    <row r="6134" ht="15" customHeight="1" x14ac:dyDescent="0.25"/>
    <row r="6135" ht="15" customHeight="1" x14ac:dyDescent="0.25"/>
    <row r="6136" ht="15" customHeight="1" x14ac:dyDescent="0.25"/>
    <row r="6137" ht="15" customHeight="1" x14ac:dyDescent="0.25"/>
    <row r="6138" ht="15" customHeight="1" x14ac:dyDescent="0.25"/>
    <row r="6139" ht="15" customHeight="1" x14ac:dyDescent="0.25"/>
    <row r="6140" ht="15" customHeight="1" x14ac:dyDescent="0.25"/>
    <row r="6141" ht="15" customHeight="1" x14ac:dyDescent="0.25"/>
    <row r="6142" ht="15" customHeight="1" x14ac:dyDescent="0.25"/>
    <row r="6143" ht="15" customHeight="1" x14ac:dyDescent="0.25"/>
    <row r="6144" ht="15" customHeight="1" x14ac:dyDescent="0.25"/>
    <row r="6145" ht="15" customHeight="1" x14ac:dyDescent="0.25"/>
    <row r="6146" ht="15" customHeight="1" x14ac:dyDescent="0.25"/>
    <row r="6147" ht="15" customHeight="1" x14ac:dyDescent="0.25"/>
    <row r="6148" ht="15" customHeight="1" x14ac:dyDescent="0.25"/>
    <row r="6149" ht="15" customHeight="1" x14ac:dyDescent="0.25"/>
    <row r="6150" ht="15" customHeight="1" x14ac:dyDescent="0.25"/>
    <row r="6151" ht="15" customHeight="1" x14ac:dyDescent="0.25"/>
    <row r="6152" ht="15" customHeight="1" x14ac:dyDescent="0.25"/>
    <row r="6153" ht="15" customHeight="1" x14ac:dyDescent="0.25"/>
    <row r="6154" ht="15" customHeight="1" x14ac:dyDescent="0.25"/>
    <row r="6155" ht="15" customHeight="1" x14ac:dyDescent="0.25"/>
    <row r="6156" ht="15" customHeight="1" x14ac:dyDescent="0.25"/>
    <row r="6157" ht="15" customHeight="1" x14ac:dyDescent="0.25"/>
    <row r="6158" ht="15" customHeight="1" x14ac:dyDescent="0.25"/>
    <row r="6159" ht="15" customHeight="1" x14ac:dyDescent="0.25"/>
    <row r="6160" ht="15" customHeight="1" x14ac:dyDescent="0.25"/>
    <row r="6161" ht="15" customHeight="1" x14ac:dyDescent="0.25"/>
    <row r="6162" ht="15" customHeight="1" x14ac:dyDescent="0.25"/>
    <row r="6163" ht="15" customHeight="1" x14ac:dyDescent="0.25"/>
    <row r="6164" ht="15" customHeight="1" x14ac:dyDescent="0.25"/>
    <row r="6165" ht="15" customHeight="1" x14ac:dyDescent="0.25"/>
    <row r="6166" ht="15" customHeight="1" x14ac:dyDescent="0.25"/>
    <row r="6167" ht="15" customHeight="1" x14ac:dyDescent="0.25"/>
    <row r="6168" ht="15" customHeight="1" x14ac:dyDescent="0.25"/>
    <row r="6169" ht="15" customHeight="1" x14ac:dyDescent="0.25"/>
    <row r="6170" ht="15" customHeight="1" x14ac:dyDescent="0.25"/>
    <row r="6171" ht="15" customHeight="1" x14ac:dyDescent="0.25"/>
    <row r="6172" ht="15" customHeight="1" x14ac:dyDescent="0.25"/>
    <row r="6173" ht="15" customHeight="1" x14ac:dyDescent="0.25"/>
    <row r="6174" ht="15" customHeight="1" x14ac:dyDescent="0.25"/>
    <row r="6175" ht="15" customHeight="1" x14ac:dyDescent="0.25"/>
    <row r="6176" ht="15" customHeight="1" x14ac:dyDescent="0.25"/>
    <row r="6177" ht="15" customHeight="1" x14ac:dyDescent="0.25"/>
    <row r="6178" ht="15" customHeight="1" x14ac:dyDescent="0.25"/>
    <row r="6179" ht="15" customHeight="1" x14ac:dyDescent="0.25"/>
    <row r="6180" ht="15" customHeight="1" x14ac:dyDescent="0.25"/>
    <row r="6181" ht="15" customHeight="1" x14ac:dyDescent="0.25"/>
    <row r="6182" ht="15" customHeight="1" x14ac:dyDescent="0.25"/>
    <row r="6183" ht="15" customHeight="1" x14ac:dyDescent="0.25"/>
    <row r="6184" ht="15" customHeight="1" x14ac:dyDescent="0.25"/>
    <row r="6185" ht="15" customHeight="1" x14ac:dyDescent="0.25"/>
    <row r="6186" ht="15" customHeight="1" x14ac:dyDescent="0.25"/>
    <row r="6187" ht="15" customHeight="1" x14ac:dyDescent="0.25"/>
    <row r="6188" ht="15" customHeight="1" x14ac:dyDescent="0.25"/>
    <row r="6189" ht="15" customHeight="1" x14ac:dyDescent="0.25"/>
    <row r="6190" ht="15" customHeight="1" x14ac:dyDescent="0.25"/>
    <row r="6191" ht="15" customHeight="1" x14ac:dyDescent="0.25"/>
    <row r="6192" ht="15" customHeight="1" x14ac:dyDescent="0.25"/>
    <row r="6193" ht="15" customHeight="1" x14ac:dyDescent="0.25"/>
    <row r="6194" ht="15" customHeight="1" x14ac:dyDescent="0.25"/>
    <row r="6195" ht="15" customHeight="1" x14ac:dyDescent="0.25"/>
    <row r="6196" ht="15" customHeight="1" x14ac:dyDescent="0.25"/>
    <row r="6197" ht="15" customHeight="1" x14ac:dyDescent="0.25"/>
    <row r="6198" ht="15" customHeight="1" x14ac:dyDescent="0.25"/>
    <row r="6199" ht="15" customHeight="1" x14ac:dyDescent="0.25"/>
    <row r="6200" ht="15" customHeight="1" x14ac:dyDescent="0.25"/>
    <row r="6201" ht="15" customHeight="1" x14ac:dyDescent="0.25"/>
    <row r="6202" ht="15" customHeight="1" x14ac:dyDescent="0.25"/>
    <row r="6203" ht="15" customHeight="1" x14ac:dyDescent="0.25"/>
    <row r="6204" ht="15" customHeight="1" x14ac:dyDescent="0.25"/>
    <row r="6205" ht="15" customHeight="1" x14ac:dyDescent="0.25"/>
    <row r="6206" ht="15" customHeight="1" x14ac:dyDescent="0.25"/>
    <row r="6207" ht="15" customHeight="1" x14ac:dyDescent="0.25"/>
    <row r="6208" ht="15" customHeight="1" x14ac:dyDescent="0.25"/>
    <row r="6209" ht="15" customHeight="1" x14ac:dyDescent="0.25"/>
    <row r="6210" ht="15" customHeight="1" x14ac:dyDescent="0.25"/>
    <row r="6211" ht="15" customHeight="1" x14ac:dyDescent="0.25"/>
    <row r="6212" ht="15" customHeight="1" x14ac:dyDescent="0.25"/>
    <row r="6213" ht="15" customHeight="1" x14ac:dyDescent="0.25"/>
    <row r="6214" ht="15" customHeight="1" x14ac:dyDescent="0.25"/>
    <row r="6215" ht="15" customHeight="1" x14ac:dyDescent="0.25"/>
    <row r="6216" ht="15" customHeight="1" x14ac:dyDescent="0.25"/>
    <row r="6217" ht="15" customHeight="1" x14ac:dyDescent="0.25"/>
    <row r="6218" ht="15" customHeight="1" x14ac:dyDescent="0.25"/>
    <row r="6219" ht="15" customHeight="1" x14ac:dyDescent="0.25"/>
    <row r="6220" ht="15" customHeight="1" x14ac:dyDescent="0.25"/>
    <row r="6221" ht="15" customHeight="1" x14ac:dyDescent="0.25"/>
    <row r="6222" ht="15" customHeight="1" x14ac:dyDescent="0.25"/>
    <row r="6223" ht="15" customHeight="1" x14ac:dyDescent="0.25"/>
    <row r="6224" ht="15" customHeight="1" x14ac:dyDescent="0.25"/>
    <row r="6225" ht="15" customHeight="1" x14ac:dyDescent="0.25"/>
    <row r="6226" ht="15" customHeight="1" x14ac:dyDescent="0.25"/>
    <row r="6227" ht="15" customHeight="1" x14ac:dyDescent="0.25"/>
    <row r="6228" ht="15" customHeight="1" x14ac:dyDescent="0.25"/>
    <row r="6229" ht="15" customHeight="1" x14ac:dyDescent="0.25"/>
    <row r="6230" ht="15" customHeight="1" x14ac:dyDescent="0.25"/>
    <row r="6231" ht="15" customHeight="1" x14ac:dyDescent="0.25"/>
    <row r="6232" ht="15" customHeight="1" x14ac:dyDescent="0.25"/>
    <row r="6233" ht="15" customHeight="1" x14ac:dyDescent="0.25"/>
    <row r="6234" ht="15" customHeight="1" x14ac:dyDescent="0.25"/>
    <row r="6235" ht="15" customHeight="1" x14ac:dyDescent="0.25"/>
    <row r="6236" ht="15" customHeight="1" x14ac:dyDescent="0.25"/>
    <row r="6237" ht="15" customHeight="1" x14ac:dyDescent="0.25"/>
    <row r="6238" ht="15" customHeight="1" x14ac:dyDescent="0.25"/>
    <row r="6239" ht="15" customHeight="1" x14ac:dyDescent="0.25"/>
    <row r="6240" ht="15" customHeight="1" x14ac:dyDescent="0.25"/>
    <row r="6241" ht="15" customHeight="1" x14ac:dyDescent="0.25"/>
    <row r="6242" ht="15" customHeight="1" x14ac:dyDescent="0.25"/>
    <row r="6243" ht="15" customHeight="1" x14ac:dyDescent="0.25"/>
    <row r="6244" ht="15" customHeight="1" x14ac:dyDescent="0.25"/>
    <row r="6245" ht="15" customHeight="1" x14ac:dyDescent="0.25"/>
    <row r="6246" ht="15" customHeight="1" x14ac:dyDescent="0.25"/>
    <row r="6247" ht="15" customHeight="1" x14ac:dyDescent="0.25"/>
    <row r="6248" ht="15" customHeight="1" x14ac:dyDescent="0.25"/>
    <row r="6249" ht="15" customHeight="1" x14ac:dyDescent="0.25"/>
    <row r="6250" ht="15" customHeight="1" x14ac:dyDescent="0.25"/>
    <row r="6251" ht="15" customHeight="1" x14ac:dyDescent="0.25"/>
    <row r="6252" ht="15" customHeight="1" x14ac:dyDescent="0.25"/>
    <row r="6253" ht="15" customHeight="1" x14ac:dyDescent="0.25"/>
    <row r="6254" ht="15" customHeight="1" x14ac:dyDescent="0.25"/>
    <row r="6255" ht="15" customHeight="1" x14ac:dyDescent="0.25"/>
    <row r="6256" ht="15" customHeight="1" x14ac:dyDescent="0.25"/>
    <row r="6257" ht="15" customHeight="1" x14ac:dyDescent="0.25"/>
    <row r="6258" ht="15" customHeight="1" x14ac:dyDescent="0.25"/>
    <row r="6259" ht="15" customHeight="1" x14ac:dyDescent="0.25"/>
    <row r="6260" ht="15" customHeight="1" x14ac:dyDescent="0.25"/>
    <row r="6261" ht="15" customHeight="1" x14ac:dyDescent="0.25"/>
    <row r="6262" ht="15" customHeight="1" x14ac:dyDescent="0.25"/>
    <row r="6263" ht="15" customHeight="1" x14ac:dyDescent="0.25"/>
    <row r="6264" ht="15" customHeight="1" x14ac:dyDescent="0.25"/>
    <row r="6265" ht="15" customHeight="1" x14ac:dyDescent="0.25"/>
    <row r="6266" ht="15" customHeight="1" x14ac:dyDescent="0.25"/>
    <row r="6267" ht="15" customHeight="1" x14ac:dyDescent="0.25"/>
    <row r="6268" ht="15" customHeight="1" x14ac:dyDescent="0.25"/>
    <row r="6269" ht="15" customHeight="1" x14ac:dyDescent="0.25"/>
    <row r="6270" ht="15" customHeight="1" x14ac:dyDescent="0.25"/>
    <row r="6271" ht="15" customHeight="1" x14ac:dyDescent="0.25"/>
    <row r="6272" ht="15" customHeight="1" x14ac:dyDescent="0.25"/>
    <row r="6273" ht="15" customHeight="1" x14ac:dyDescent="0.25"/>
    <row r="6274" ht="15" customHeight="1" x14ac:dyDescent="0.25"/>
    <row r="6275" ht="15" customHeight="1" x14ac:dyDescent="0.25"/>
    <row r="6276" ht="15" customHeight="1" x14ac:dyDescent="0.25"/>
    <row r="6277" ht="15" customHeight="1" x14ac:dyDescent="0.25"/>
    <row r="6278" ht="15" customHeight="1" x14ac:dyDescent="0.25"/>
    <row r="6279" ht="15" customHeight="1" x14ac:dyDescent="0.25"/>
    <row r="6280" ht="15" customHeight="1" x14ac:dyDescent="0.25"/>
    <row r="6281" ht="15" customHeight="1" x14ac:dyDescent="0.25"/>
    <row r="6282" ht="15" customHeight="1" x14ac:dyDescent="0.25"/>
    <row r="6283" ht="15" customHeight="1" x14ac:dyDescent="0.25"/>
    <row r="6284" ht="15" customHeight="1" x14ac:dyDescent="0.25"/>
    <row r="6285" ht="15" customHeight="1" x14ac:dyDescent="0.25"/>
    <row r="6286" ht="15" customHeight="1" x14ac:dyDescent="0.25"/>
    <row r="6287" ht="15" customHeight="1" x14ac:dyDescent="0.25"/>
    <row r="6288" ht="15" customHeight="1" x14ac:dyDescent="0.25"/>
    <row r="6289" ht="15" customHeight="1" x14ac:dyDescent="0.25"/>
    <row r="6290" ht="15" customHeight="1" x14ac:dyDescent="0.25"/>
    <row r="6291" ht="15" customHeight="1" x14ac:dyDescent="0.25"/>
    <row r="6292" ht="15" customHeight="1" x14ac:dyDescent="0.25"/>
    <row r="6293" ht="15" customHeight="1" x14ac:dyDescent="0.25"/>
    <row r="6294" ht="15" customHeight="1" x14ac:dyDescent="0.25"/>
    <row r="6295" ht="15" customHeight="1" x14ac:dyDescent="0.25"/>
    <row r="6296" ht="15" customHeight="1" x14ac:dyDescent="0.25"/>
    <row r="6297" ht="15" customHeight="1" x14ac:dyDescent="0.25"/>
    <row r="6298" ht="15" customHeight="1" x14ac:dyDescent="0.25"/>
    <row r="6299" ht="15" customHeight="1" x14ac:dyDescent="0.25"/>
    <row r="6300" ht="15" customHeight="1" x14ac:dyDescent="0.25"/>
    <row r="6301" ht="15" customHeight="1" x14ac:dyDescent="0.25"/>
    <row r="6302" ht="15" customHeight="1" x14ac:dyDescent="0.25"/>
    <row r="6303" ht="15" customHeight="1" x14ac:dyDescent="0.25"/>
    <row r="6304" ht="15" customHeight="1" x14ac:dyDescent="0.25"/>
    <row r="6305" ht="15" customHeight="1" x14ac:dyDescent="0.25"/>
    <row r="6306" ht="15" customHeight="1" x14ac:dyDescent="0.25"/>
    <row r="6307" ht="15" customHeight="1" x14ac:dyDescent="0.25"/>
    <row r="6308" ht="15" customHeight="1" x14ac:dyDescent="0.25"/>
    <row r="6309" ht="15" customHeight="1" x14ac:dyDescent="0.25"/>
    <row r="6310" ht="15" customHeight="1" x14ac:dyDescent="0.25"/>
    <row r="6311" ht="15" customHeight="1" x14ac:dyDescent="0.25"/>
    <row r="6312" ht="15" customHeight="1" x14ac:dyDescent="0.25"/>
    <row r="6313" ht="15" customHeight="1" x14ac:dyDescent="0.25"/>
    <row r="6314" ht="15" customHeight="1" x14ac:dyDescent="0.25"/>
    <row r="6315" ht="15" customHeight="1" x14ac:dyDescent="0.25"/>
    <row r="6316" ht="15" customHeight="1" x14ac:dyDescent="0.25"/>
    <row r="6317" ht="15" customHeight="1" x14ac:dyDescent="0.25"/>
    <row r="6318" ht="15" customHeight="1" x14ac:dyDescent="0.25"/>
    <row r="6319" ht="15" customHeight="1" x14ac:dyDescent="0.25"/>
    <row r="6320" ht="15" customHeight="1" x14ac:dyDescent="0.25"/>
    <row r="6321" ht="15" customHeight="1" x14ac:dyDescent="0.25"/>
    <row r="6322" ht="15" customHeight="1" x14ac:dyDescent="0.25"/>
    <row r="6323" ht="15" customHeight="1" x14ac:dyDescent="0.25"/>
    <row r="6324" ht="15" customHeight="1" x14ac:dyDescent="0.25"/>
    <row r="6325" ht="15" customHeight="1" x14ac:dyDescent="0.25"/>
    <row r="6326" ht="15" customHeight="1" x14ac:dyDescent="0.25"/>
    <row r="6327" ht="15" customHeight="1" x14ac:dyDescent="0.25"/>
    <row r="6328" ht="15" customHeight="1" x14ac:dyDescent="0.25"/>
    <row r="6329" ht="15" customHeight="1" x14ac:dyDescent="0.25"/>
    <row r="6330" ht="15" customHeight="1" x14ac:dyDescent="0.25"/>
    <row r="6331" ht="15" customHeight="1" x14ac:dyDescent="0.25"/>
    <row r="6332" ht="15" customHeight="1" x14ac:dyDescent="0.25"/>
    <row r="6333" ht="15" customHeight="1" x14ac:dyDescent="0.25"/>
    <row r="6334" ht="15" customHeight="1" x14ac:dyDescent="0.25"/>
    <row r="6335" ht="15" customHeight="1" x14ac:dyDescent="0.25"/>
    <row r="6336" ht="15" customHeight="1" x14ac:dyDescent="0.25"/>
    <row r="6337" ht="15" customHeight="1" x14ac:dyDescent="0.25"/>
    <row r="6338" ht="15" customHeight="1" x14ac:dyDescent="0.25"/>
    <row r="6339" ht="15" customHeight="1" x14ac:dyDescent="0.25"/>
    <row r="6340" ht="15" customHeight="1" x14ac:dyDescent="0.25"/>
    <row r="6341" ht="15" customHeight="1" x14ac:dyDescent="0.25"/>
    <row r="6342" ht="15" customHeight="1" x14ac:dyDescent="0.25"/>
    <row r="6343" ht="15" customHeight="1" x14ac:dyDescent="0.25"/>
    <row r="6344" ht="15" customHeight="1" x14ac:dyDescent="0.25"/>
    <row r="6345" ht="15" customHeight="1" x14ac:dyDescent="0.25"/>
    <row r="6346" ht="15" customHeight="1" x14ac:dyDescent="0.25"/>
    <row r="6347" ht="15" customHeight="1" x14ac:dyDescent="0.25"/>
    <row r="6348" ht="15" customHeight="1" x14ac:dyDescent="0.25"/>
    <row r="6349" ht="15" customHeight="1" x14ac:dyDescent="0.25"/>
    <row r="6350" ht="15" customHeight="1" x14ac:dyDescent="0.25"/>
    <row r="6351" ht="15" customHeight="1" x14ac:dyDescent="0.25"/>
    <row r="6352" ht="15" customHeight="1" x14ac:dyDescent="0.25"/>
    <row r="6353" ht="15" customHeight="1" x14ac:dyDescent="0.25"/>
    <row r="6354" ht="15" customHeight="1" x14ac:dyDescent="0.25"/>
    <row r="6355" ht="15" customHeight="1" x14ac:dyDescent="0.25"/>
    <row r="6356" ht="15" customHeight="1" x14ac:dyDescent="0.25"/>
    <row r="6357" ht="15" customHeight="1" x14ac:dyDescent="0.25"/>
    <row r="6358" ht="15" customHeight="1" x14ac:dyDescent="0.25"/>
    <row r="6359" ht="15" customHeight="1" x14ac:dyDescent="0.25"/>
    <row r="6360" ht="15" customHeight="1" x14ac:dyDescent="0.25"/>
    <row r="6361" ht="15" customHeight="1" x14ac:dyDescent="0.25"/>
    <row r="6362" ht="15" customHeight="1" x14ac:dyDescent="0.25"/>
    <row r="6363" ht="15" customHeight="1" x14ac:dyDescent="0.25"/>
    <row r="6364" ht="15" customHeight="1" x14ac:dyDescent="0.25"/>
    <row r="6365" ht="15" customHeight="1" x14ac:dyDescent="0.25"/>
    <row r="6366" ht="15" customHeight="1" x14ac:dyDescent="0.25"/>
    <row r="6367" ht="15" customHeight="1" x14ac:dyDescent="0.25"/>
    <row r="6368" ht="15" customHeight="1" x14ac:dyDescent="0.25"/>
    <row r="6369" ht="15" customHeight="1" x14ac:dyDescent="0.25"/>
    <row r="6370" ht="15" customHeight="1" x14ac:dyDescent="0.25"/>
    <row r="6371" ht="15" customHeight="1" x14ac:dyDescent="0.25"/>
    <row r="6372" ht="15" customHeight="1" x14ac:dyDescent="0.25"/>
    <row r="6373" ht="15" customHeight="1" x14ac:dyDescent="0.25"/>
    <row r="6374" ht="15" customHeight="1" x14ac:dyDescent="0.25"/>
    <row r="6375" ht="15" customHeight="1" x14ac:dyDescent="0.25"/>
    <row r="6376" ht="15" customHeight="1" x14ac:dyDescent="0.25"/>
    <row r="6377" ht="15" customHeight="1" x14ac:dyDescent="0.25"/>
    <row r="6378" ht="15" customHeight="1" x14ac:dyDescent="0.25"/>
    <row r="6379" ht="15" customHeight="1" x14ac:dyDescent="0.25"/>
    <row r="6380" ht="15" customHeight="1" x14ac:dyDescent="0.25"/>
    <row r="6381" ht="15" customHeight="1" x14ac:dyDescent="0.25"/>
    <row r="6382" ht="15" customHeight="1" x14ac:dyDescent="0.25"/>
    <row r="6383" ht="15" customHeight="1" x14ac:dyDescent="0.25"/>
    <row r="6384" ht="15" customHeight="1" x14ac:dyDescent="0.25"/>
    <row r="6385" ht="15" customHeight="1" x14ac:dyDescent="0.25"/>
    <row r="6386" ht="15" customHeight="1" x14ac:dyDescent="0.25"/>
    <row r="6387" ht="15" customHeight="1" x14ac:dyDescent="0.25"/>
    <row r="6388" ht="15" customHeight="1" x14ac:dyDescent="0.25"/>
    <row r="6389" ht="15" customHeight="1" x14ac:dyDescent="0.25"/>
    <row r="6390" ht="15" customHeight="1" x14ac:dyDescent="0.25"/>
    <row r="6391" ht="15" customHeight="1" x14ac:dyDescent="0.25"/>
    <row r="6392" ht="15" customHeight="1" x14ac:dyDescent="0.25"/>
    <row r="6393" ht="15" customHeight="1" x14ac:dyDescent="0.25"/>
    <row r="6394" ht="15" customHeight="1" x14ac:dyDescent="0.25"/>
    <row r="6395" ht="15" customHeight="1" x14ac:dyDescent="0.25"/>
    <row r="6396" ht="15" customHeight="1" x14ac:dyDescent="0.25"/>
    <row r="6397" ht="15" customHeight="1" x14ac:dyDescent="0.25"/>
    <row r="6398" ht="15" customHeight="1" x14ac:dyDescent="0.25"/>
    <row r="6399" ht="15" customHeight="1" x14ac:dyDescent="0.25"/>
    <row r="6400" ht="15" customHeight="1" x14ac:dyDescent="0.25"/>
    <row r="6401" ht="15" customHeight="1" x14ac:dyDescent="0.25"/>
    <row r="6402" ht="15" customHeight="1" x14ac:dyDescent="0.25"/>
    <row r="6403" ht="15" customHeight="1" x14ac:dyDescent="0.25"/>
    <row r="6404" ht="15" customHeight="1" x14ac:dyDescent="0.25"/>
    <row r="6405" ht="15" customHeight="1" x14ac:dyDescent="0.25"/>
    <row r="6406" ht="15" customHeight="1" x14ac:dyDescent="0.25"/>
    <row r="6407" ht="15" customHeight="1" x14ac:dyDescent="0.25"/>
    <row r="6408" ht="15" customHeight="1" x14ac:dyDescent="0.25"/>
    <row r="6409" ht="15" customHeight="1" x14ac:dyDescent="0.25"/>
    <row r="6410" ht="15" customHeight="1" x14ac:dyDescent="0.25"/>
    <row r="6411" ht="15" customHeight="1" x14ac:dyDescent="0.25"/>
    <row r="6412" ht="15" customHeight="1" x14ac:dyDescent="0.25"/>
    <row r="6413" ht="15" customHeight="1" x14ac:dyDescent="0.25"/>
    <row r="6414" ht="15" customHeight="1" x14ac:dyDescent="0.25"/>
    <row r="6415" ht="15" customHeight="1" x14ac:dyDescent="0.25"/>
    <row r="6416" ht="15" customHeight="1" x14ac:dyDescent="0.25"/>
    <row r="6417" ht="15" customHeight="1" x14ac:dyDescent="0.25"/>
    <row r="6418" ht="15" customHeight="1" x14ac:dyDescent="0.25"/>
    <row r="6419" ht="15" customHeight="1" x14ac:dyDescent="0.25"/>
    <row r="6420" ht="15" customHeight="1" x14ac:dyDescent="0.25"/>
    <row r="6421" ht="15" customHeight="1" x14ac:dyDescent="0.25"/>
    <row r="6422" ht="15" customHeight="1" x14ac:dyDescent="0.25"/>
    <row r="6423" ht="15" customHeight="1" x14ac:dyDescent="0.25"/>
    <row r="6424" ht="15" customHeight="1" x14ac:dyDescent="0.25"/>
    <row r="6425" ht="15" customHeight="1" x14ac:dyDescent="0.25"/>
    <row r="6426" ht="15" customHeight="1" x14ac:dyDescent="0.25"/>
    <row r="6427" ht="15" customHeight="1" x14ac:dyDescent="0.25"/>
    <row r="6428" ht="15" customHeight="1" x14ac:dyDescent="0.25"/>
    <row r="6429" ht="15" customHeight="1" x14ac:dyDescent="0.25"/>
    <row r="6430" ht="15" customHeight="1" x14ac:dyDescent="0.25"/>
    <row r="6431" ht="15" customHeight="1" x14ac:dyDescent="0.25"/>
    <row r="6432" ht="15" customHeight="1" x14ac:dyDescent="0.25"/>
    <row r="6433" ht="15" customHeight="1" x14ac:dyDescent="0.25"/>
    <row r="6434" ht="15" customHeight="1" x14ac:dyDescent="0.25"/>
    <row r="6435" ht="15" customHeight="1" x14ac:dyDescent="0.25"/>
    <row r="6436" ht="15" customHeight="1" x14ac:dyDescent="0.25"/>
    <row r="6437" ht="15" customHeight="1" x14ac:dyDescent="0.25"/>
    <row r="6438" ht="15" customHeight="1" x14ac:dyDescent="0.25"/>
    <row r="6439" ht="15" customHeight="1" x14ac:dyDescent="0.25"/>
    <row r="6440" ht="15" customHeight="1" x14ac:dyDescent="0.25"/>
    <row r="6441" ht="15" customHeight="1" x14ac:dyDescent="0.25"/>
    <row r="6442" ht="15" customHeight="1" x14ac:dyDescent="0.25"/>
    <row r="6443" ht="15" customHeight="1" x14ac:dyDescent="0.25"/>
    <row r="6444" ht="15" customHeight="1" x14ac:dyDescent="0.25"/>
    <row r="6445" ht="15" customHeight="1" x14ac:dyDescent="0.25"/>
    <row r="6446" ht="15" customHeight="1" x14ac:dyDescent="0.25"/>
    <row r="6447" ht="15" customHeight="1" x14ac:dyDescent="0.25"/>
    <row r="6448" ht="15" customHeight="1" x14ac:dyDescent="0.25"/>
    <row r="6449" ht="15" customHeight="1" x14ac:dyDescent="0.25"/>
    <row r="6450" ht="15" customHeight="1" x14ac:dyDescent="0.25"/>
    <row r="6451" ht="15" customHeight="1" x14ac:dyDescent="0.25"/>
    <row r="6452" ht="15" customHeight="1" x14ac:dyDescent="0.25"/>
    <row r="6453" ht="15" customHeight="1" x14ac:dyDescent="0.25"/>
    <row r="6454" ht="15" customHeight="1" x14ac:dyDescent="0.25"/>
    <row r="6455" ht="15" customHeight="1" x14ac:dyDescent="0.25"/>
    <row r="6456" ht="15" customHeight="1" x14ac:dyDescent="0.25"/>
    <row r="6457" ht="15" customHeight="1" x14ac:dyDescent="0.25"/>
    <row r="6458" ht="15" customHeight="1" x14ac:dyDescent="0.25"/>
    <row r="6459" ht="15" customHeight="1" x14ac:dyDescent="0.25"/>
    <row r="6460" ht="15" customHeight="1" x14ac:dyDescent="0.25"/>
    <row r="6461" ht="15" customHeight="1" x14ac:dyDescent="0.25"/>
    <row r="6462" ht="15" customHeight="1" x14ac:dyDescent="0.25"/>
    <row r="6463" ht="15" customHeight="1" x14ac:dyDescent="0.25"/>
    <row r="6464" ht="15" customHeight="1" x14ac:dyDescent="0.25"/>
    <row r="6465" ht="15" customHeight="1" x14ac:dyDescent="0.25"/>
    <row r="6466" ht="15" customHeight="1" x14ac:dyDescent="0.25"/>
    <row r="6467" ht="15" customHeight="1" x14ac:dyDescent="0.25"/>
    <row r="6468" ht="15" customHeight="1" x14ac:dyDescent="0.25"/>
    <row r="6469" ht="15" customHeight="1" x14ac:dyDescent="0.25"/>
    <row r="6470" ht="15" customHeight="1" x14ac:dyDescent="0.25"/>
    <row r="6471" ht="15" customHeight="1" x14ac:dyDescent="0.25"/>
    <row r="6472" ht="15" customHeight="1" x14ac:dyDescent="0.25"/>
    <row r="6473" ht="15" customHeight="1" x14ac:dyDescent="0.25"/>
    <row r="6474" ht="15" customHeight="1" x14ac:dyDescent="0.25"/>
    <row r="6475" ht="15" customHeight="1" x14ac:dyDescent="0.25"/>
    <row r="6476" ht="15" customHeight="1" x14ac:dyDescent="0.25"/>
    <row r="6477" ht="15" customHeight="1" x14ac:dyDescent="0.25"/>
    <row r="6478" ht="15" customHeight="1" x14ac:dyDescent="0.25"/>
    <row r="6479" ht="15" customHeight="1" x14ac:dyDescent="0.25"/>
    <row r="6480" ht="15" customHeight="1" x14ac:dyDescent="0.25"/>
    <row r="6481" ht="15" customHeight="1" x14ac:dyDescent="0.25"/>
    <row r="6482" ht="15" customHeight="1" x14ac:dyDescent="0.25"/>
    <row r="6483" ht="15" customHeight="1" x14ac:dyDescent="0.25"/>
    <row r="6484" ht="15" customHeight="1" x14ac:dyDescent="0.25"/>
    <row r="6485" ht="15" customHeight="1" x14ac:dyDescent="0.25"/>
    <row r="6486" ht="15" customHeight="1" x14ac:dyDescent="0.25"/>
    <row r="6487" ht="15" customHeight="1" x14ac:dyDescent="0.25"/>
    <row r="6488" ht="15" customHeight="1" x14ac:dyDescent="0.25"/>
    <row r="6489" ht="15" customHeight="1" x14ac:dyDescent="0.25"/>
    <row r="6490" ht="15" customHeight="1" x14ac:dyDescent="0.25"/>
    <row r="6491" ht="15" customHeight="1" x14ac:dyDescent="0.25"/>
    <row r="6492" ht="15" customHeight="1" x14ac:dyDescent="0.25"/>
    <row r="6493" ht="15" customHeight="1" x14ac:dyDescent="0.25"/>
    <row r="6494" ht="15" customHeight="1" x14ac:dyDescent="0.25"/>
    <row r="6495" ht="15" customHeight="1" x14ac:dyDescent="0.25"/>
    <row r="6496" ht="15" customHeight="1" x14ac:dyDescent="0.25"/>
    <row r="6497" ht="15" customHeight="1" x14ac:dyDescent="0.25"/>
    <row r="6498" ht="15" customHeight="1" x14ac:dyDescent="0.25"/>
    <row r="6499" ht="15" customHeight="1" x14ac:dyDescent="0.25"/>
    <row r="6500" ht="15" customHeight="1" x14ac:dyDescent="0.25"/>
    <row r="6501" ht="15" customHeight="1" x14ac:dyDescent="0.25"/>
    <row r="6502" ht="15" customHeight="1" x14ac:dyDescent="0.25"/>
    <row r="6503" ht="15" customHeight="1" x14ac:dyDescent="0.25"/>
    <row r="6504" ht="15" customHeight="1" x14ac:dyDescent="0.25"/>
    <row r="6505" ht="15" customHeight="1" x14ac:dyDescent="0.25"/>
    <row r="6506" ht="15" customHeight="1" x14ac:dyDescent="0.25"/>
    <row r="6507" ht="15" customHeight="1" x14ac:dyDescent="0.25"/>
    <row r="6508" ht="15" customHeight="1" x14ac:dyDescent="0.25"/>
    <row r="6509" ht="15" customHeight="1" x14ac:dyDescent="0.25"/>
    <row r="6510" ht="15" customHeight="1" x14ac:dyDescent="0.25"/>
    <row r="6511" ht="15" customHeight="1" x14ac:dyDescent="0.25"/>
    <row r="6512" ht="15" customHeight="1" x14ac:dyDescent="0.25"/>
    <row r="6513" ht="15" customHeight="1" x14ac:dyDescent="0.25"/>
    <row r="6514" ht="15" customHeight="1" x14ac:dyDescent="0.25"/>
    <row r="6515" ht="15" customHeight="1" x14ac:dyDescent="0.25"/>
    <row r="6516" ht="15" customHeight="1" x14ac:dyDescent="0.25"/>
    <row r="6517" ht="15" customHeight="1" x14ac:dyDescent="0.25"/>
    <row r="6518" ht="15" customHeight="1" x14ac:dyDescent="0.25"/>
    <row r="6519" ht="15" customHeight="1" x14ac:dyDescent="0.25"/>
    <row r="6520" ht="15" customHeight="1" x14ac:dyDescent="0.25"/>
    <row r="6521" ht="15" customHeight="1" x14ac:dyDescent="0.25"/>
    <row r="6522" ht="15" customHeight="1" x14ac:dyDescent="0.25"/>
    <row r="6523" ht="15" customHeight="1" x14ac:dyDescent="0.25"/>
    <row r="6524" ht="15" customHeight="1" x14ac:dyDescent="0.25"/>
    <row r="6525" ht="15" customHeight="1" x14ac:dyDescent="0.25"/>
    <row r="6526" ht="15" customHeight="1" x14ac:dyDescent="0.25"/>
    <row r="6527" ht="15" customHeight="1" x14ac:dyDescent="0.25"/>
    <row r="6528" ht="15" customHeight="1" x14ac:dyDescent="0.25"/>
    <row r="6529" ht="15" customHeight="1" x14ac:dyDescent="0.25"/>
    <row r="6530" ht="15" customHeight="1" x14ac:dyDescent="0.25"/>
    <row r="6531" ht="15" customHeight="1" x14ac:dyDescent="0.25"/>
    <row r="6532" ht="15" customHeight="1" x14ac:dyDescent="0.25"/>
    <row r="6533" ht="15" customHeight="1" x14ac:dyDescent="0.25"/>
    <row r="6534" ht="15" customHeight="1" x14ac:dyDescent="0.25"/>
    <row r="6535" ht="15" customHeight="1" x14ac:dyDescent="0.25"/>
    <row r="6536" ht="15" customHeight="1" x14ac:dyDescent="0.25"/>
    <row r="6537" ht="15" customHeight="1" x14ac:dyDescent="0.25"/>
    <row r="6538" ht="15" customHeight="1" x14ac:dyDescent="0.25"/>
    <row r="6539" ht="15" customHeight="1" x14ac:dyDescent="0.25"/>
    <row r="6540" ht="15" customHeight="1" x14ac:dyDescent="0.25"/>
    <row r="6541" ht="15" customHeight="1" x14ac:dyDescent="0.25"/>
    <row r="6542" ht="15" customHeight="1" x14ac:dyDescent="0.25"/>
    <row r="6543" ht="15" customHeight="1" x14ac:dyDescent="0.25"/>
    <row r="6544" ht="15" customHeight="1" x14ac:dyDescent="0.25"/>
    <row r="6545" ht="15" customHeight="1" x14ac:dyDescent="0.25"/>
    <row r="6546" ht="15" customHeight="1" x14ac:dyDescent="0.25"/>
    <row r="6547" ht="15" customHeight="1" x14ac:dyDescent="0.25"/>
    <row r="6548" ht="15" customHeight="1" x14ac:dyDescent="0.25"/>
    <row r="6549" ht="15" customHeight="1" x14ac:dyDescent="0.25"/>
    <row r="6550" ht="15" customHeight="1" x14ac:dyDescent="0.25"/>
    <row r="6551" ht="15" customHeight="1" x14ac:dyDescent="0.25"/>
    <row r="6552" ht="15" customHeight="1" x14ac:dyDescent="0.25"/>
    <row r="6553" ht="15" customHeight="1" x14ac:dyDescent="0.25"/>
    <row r="6554" ht="15" customHeight="1" x14ac:dyDescent="0.25"/>
    <row r="6555" ht="15" customHeight="1" x14ac:dyDescent="0.25"/>
    <row r="6556" ht="15" customHeight="1" x14ac:dyDescent="0.25"/>
    <row r="6557" ht="15" customHeight="1" x14ac:dyDescent="0.25"/>
    <row r="6558" ht="15" customHeight="1" x14ac:dyDescent="0.25"/>
    <row r="6559" ht="15" customHeight="1" x14ac:dyDescent="0.25"/>
    <row r="6560" ht="15" customHeight="1" x14ac:dyDescent="0.25"/>
    <row r="6561" ht="15" customHeight="1" x14ac:dyDescent="0.25"/>
    <row r="6562" ht="15" customHeight="1" x14ac:dyDescent="0.25"/>
    <row r="6563" ht="15" customHeight="1" x14ac:dyDescent="0.25"/>
    <row r="6564" ht="15" customHeight="1" x14ac:dyDescent="0.25"/>
    <row r="6565" ht="15" customHeight="1" x14ac:dyDescent="0.25"/>
    <row r="6566" ht="15" customHeight="1" x14ac:dyDescent="0.25"/>
    <row r="6567" ht="15" customHeight="1" x14ac:dyDescent="0.25"/>
    <row r="6568" ht="15" customHeight="1" x14ac:dyDescent="0.25"/>
    <row r="6569" ht="15" customHeight="1" x14ac:dyDescent="0.25"/>
    <row r="6570" ht="15" customHeight="1" x14ac:dyDescent="0.25"/>
    <row r="6571" ht="15" customHeight="1" x14ac:dyDescent="0.25"/>
    <row r="6572" ht="15" customHeight="1" x14ac:dyDescent="0.25"/>
    <row r="6573" ht="15" customHeight="1" x14ac:dyDescent="0.25"/>
    <row r="6574" ht="15" customHeight="1" x14ac:dyDescent="0.25"/>
    <row r="6575" ht="15" customHeight="1" x14ac:dyDescent="0.25"/>
    <row r="6576" ht="15" customHeight="1" x14ac:dyDescent="0.25"/>
    <row r="6577" ht="15" customHeight="1" x14ac:dyDescent="0.25"/>
    <row r="6578" ht="15" customHeight="1" x14ac:dyDescent="0.25"/>
    <row r="6579" ht="15" customHeight="1" x14ac:dyDescent="0.25"/>
    <row r="6580" ht="15" customHeight="1" x14ac:dyDescent="0.25"/>
    <row r="6581" ht="15" customHeight="1" x14ac:dyDescent="0.25"/>
    <row r="6582" ht="15" customHeight="1" x14ac:dyDescent="0.25"/>
    <row r="6583" ht="15" customHeight="1" x14ac:dyDescent="0.25"/>
    <row r="6584" ht="15" customHeight="1" x14ac:dyDescent="0.25"/>
    <row r="6585" ht="15" customHeight="1" x14ac:dyDescent="0.25"/>
    <row r="6586" ht="15" customHeight="1" x14ac:dyDescent="0.25"/>
    <row r="6587" ht="15" customHeight="1" x14ac:dyDescent="0.25"/>
    <row r="6588" ht="15" customHeight="1" x14ac:dyDescent="0.25"/>
    <row r="6589" ht="15" customHeight="1" x14ac:dyDescent="0.25"/>
    <row r="6590" ht="15" customHeight="1" x14ac:dyDescent="0.25"/>
    <row r="6591" ht="15" customHeight="1" x14ac:dyDescent="0.25"/>
    <row r="6592" ht="15" customHeight="1" x14ac:dyDescent="0.25"/>
    <row r="6593" ht="15" customHeight="1" x14ac:dyDescent="0.25"/>
    <row r="6594" ht="15" customHeight="1" x14ac:dyDescent="0.25"/>
    <row r="6595" ht="15" customHeight="1" x14ac:dyDescent="0.25"/>
    <row r="6596" ht="15" customHeight="1" x14ac:dyDescent="0.25"/>
    <row r="6597" ht="15" customHeight="1" x14ac:dyDescent="0.25"/>
    <row r="6598" ht="15" customHeight="1" x14ac:dyDescent="0.25"/>
    <row r="6599" ht="15" customHeight="1" x14ac:dyDescent="0.25"/>
    <row r="6600" ht="15" customHeight="1" x14ac:dyDescent="0.25"/>
    <row r="6601" ht="15" customHeight="1" x14ac:dyDescent="0.25"/>
    <row r="6602" ht="15" customHeight="1" x14ac:dyDescent="0.25"/>
    <row r="6603" ht="15" customHeight="1" x14ac:dyDescent="0.25"/>
    <row r="6604" ht="15" customHeight="1" x14ac:dyDescent="0.25"/>
    <row r="6605" ht="15" customHeight="1" x14ac:dyDescent="0.25"/>
    <row r="6606" ht="15" customHeight="1" x14ac:dyDescent="0.25"/>
    <row r="6607" ht="15" customHeight="1" x14ac:dyDescent="0.25"/>
    <row r="6608" ht="15" customHeight="1" x14ac:dyDescent="0.25"/>
    <row r="6609" ht="15" customHeight="1" x14ac:dyDescent="0.25"/>
    <row r="6610" ht="15" customHeight="1" x14ac:dyDescent="0.25"/>
    <row r="6611" ht="15" customHeight="1" x14ac:dyDescent="0.25"/>
    <row r="6612" ht="15" customHeight="1" x14ac:dyDescent="0.25"/>
    <row r="6613" ht="15" customHeight="1" x14ac:dyDescent="0.25"/>
    <row r="6614" ht="15" customHeight="1" x14ac:dyDescent="0.25"/>
    <row r="6615" ht="15" customHeight="1" x14ac:dyDescent="0.25"/>
    <row r="6616" ht="15" customHeight="1" x14ac:dyDescent="0.25"/>
    <row r="6617" ht="15" customHeight="1" x14ac:dyDescent="0.25"/>
    <row r="6618" ht="15" customHeight="1" x14ac:dyDescent="0.25"/>
    <row r="6619" ht="15" customHeight="1" x14ac:dyDescent="0.25"/>
    <row r="6620" ht="15" customHeight="1" x14ac:dyDescent="0.25"/>
    <row r="6621" ht="15" customHeight="1" x14ac:dyDescent="0.25"/>
    <row r="6622" ht="15" customHeight="1" x14ac:dyDescent="0.25"/>
    <row r="6623" ht="15" customHeight="1" x14ac:dyDescent="0.25"/>
    <row r="6624" ht="15" customHeight="1" x14ac:dyDescent="0.25"/>
    <row r="6625" ht="15" customHeight="1" x14ac:dyDescent="0.25"/>
    <row r="6626" ht="15" customHeight="1" x14ac:dyDescent="0.25"/>
    <row r="6627" ht="15" customHeight="1" x14ac:dyDescent="0.25"/>
    <row r="6628" ht="15" customHeight="1" x14ac:dyDescent="0.25"/>
    <row r="6629" ht="15" customHeight="1" x14ac:dyDescent="0.25"/>
    <row r="6630" ht="15" customHeight="1" x14ac:dyDescent="0.25"/>
    <row r="6631" ht="15" customHeight="1" x14ac:dyDescent="0.25"/>
    <row r="6632" ht="15" customHeight="1" x14ac:dyDescent="0.25"/>
    <row r="6633" ht="15" customHeight="1" x14ac:dyDescent="0.25"/>
    <row r="6634" ht="15" customHeight="1" x14ac:dyDescent="0.25"/>
    <row r="6635" ht="15" customHeight="1" x14ac:dyDescent="0.25"/>
    <row r="6636" ht="15" customHeight="1" x14ac:dyDescent="0.25"/>
    <row r="6637" ht="15" customHeight="1" x14ac:dyDescent="0.25"/>
    <row r="6638" ht="15" customHeight="1" x14ac:dyDescent="0.25"/>
    <row r="6639" ht="15" customHeight="1" x14ac:dyDescent="0.25"/>
    <row r="6640" ht="15" customHeight="1" x14ac:dyDescent="0.25"/>
    <row r="6641" ht="15" customHeight="1" x14ac:dyDescent="0.25"/>
    <row r="6642" ht="15" customHeight="1" x14ac:dyDescent="0.25"/>
    <row r="6643" ht="15" customHeight="1" x14ac:dyDescent="0.25"/>
    <row r="6644" ht="15" customHeight="1" x14ac:dyDescent="0.25"/>
    <row r="6645" ht="15" customHeight="1" x14ac:dyDescent="0.25"/>
    <row r="6646" ht="15" customHeight="1" x14ac:dyDescent="0.25"/>
    <row r="6647" ht="15" customHeight="1" x14ac:dyDescent="0.25"/>
    <row r="6648" ht="15" customHeight="1" x14ac:dyDescent="0.25"/>
    <row r="6649" ht="15" customHeight="1" x14ac:dyDescent="0.25"/>
    <row r="6650" ht="15" customHeight="1" x14ac:dyDescent="0.25"/>
    <row r="6651" ht="15" customHeight="1" x14ac:dyDescent="0.25"/>
    <row r="6652" ht="15" customHeight="1" x14ac:dyDescent="0.25"/>
    <row r="6653" ht="15" customHeight="1" x14ac:dyDescent="0.25"/>
    <row r="6654" ht="15" customHeight="1" x14ac:dyDescent="0.25"/>
    <row r="6655" ht="15" customHeight="1" x14ac:dyDescent="0.25"/>
    <row r="6656" ht="15" customHeight="1" x14ac:dyDescent="0.25"/>
    <row r="6657" ht="15" customHeight="1" x14ac:dyDescent="0.25"/>
    <row r="6658" ht="15" customHeight="1" x14ac:dyDescent="0.25"/>
    <row r="6659" ht="15" customHeight="1" x14ac:dyDescent="0.25"/>
    <row r="6660" ht="15" customHeight="1" x14ac:dyDescent="0.25"/>
    <row r="6661" ht="15" customHeight="1" x14ac:dyDescent="0.25"/>
    <row r="6662" ht="15" customHeight="1" x14ac:dyDescent="0.25"/>
    <row r="6663" ht="15" customHeight="1" x14ac:dyDescent="0.25"/>
    <row r="6664" ht="15" customHeight="1" x14ac:dyDescent="0.25"/>
    <row r="6665" ht="15" customHeight="1" x14ac:dyDescent="0.25"/>
    <row r="6666" ht="15" customHeight="1" x14ac:dyDescent="0.25"/>
    <row r="6667" ht="15" customHeight="1" x14ac:dyDescent="0.25"/>
    <row r="6668" ht="15" customHeight="1" x14ac:dyDescent="0.25"/>
    <row r="6669" ht="15" customHeight="1" x14ac:dyDescent="0.25"/>
    <row r="6670" ht="15" customHeight="1" x14ac:dyDescent="0.25"/>
    <row r="6671" ht="15" customHeight="1" x14ac:dyDescent="0.25"/>
    <row r="6672" ht="15" customHeight="1" x14ac:dyDescent="0.25"/>
    <row r="6673" ht="15" customHeight="1" x14ac:dyDescent="0.25"/>
    <row r="6674" ht="15" customHeight="1" x14ac:dyDescent="0.25"/>
    <row r="6675" ht="15" customHeight="1" x14ac:dyDescent="0.25"/>
    <row r="6676" ht="15" customHeight="1" x14ac:dyDescent="0.25"/>
    <row r="6677" ht="15" customHeight="1" x14ac:dyDescent="0.25"/>
    <row r="6678" ht="15" customHeight="1" x14ac:dyDescent="0.25"/>
    <row r="6679" ht="15" customHeight="1" x14ac:dyDescent="0.25"/>
    <row r="6680" ht="15" customHeight="1" x14ac:dyDescent="0.25"/>
    <row r="6681" ht="15" customHeight="1" x14ac:dyDescent="0.25"/>
    <row r="6682" ht="15" customHeight="1" x14ac:dyDescent="0.25"/>
    <row r="6683" ht="15" customHeight="1" x14ac:dyDescent="0.25"/>
    <row r="6684" ht="15" customHeight="1" x14ac:dyDescent="0.25"/>
    <row r="6685" ht="15" customHeight="1" x14ac:dyDescent="0.25"/>
    <row r="6686" ht="15" customHeight="1" x14ac:dyDescent="0.25"/>
    <row r="6687" ht="15" customHeight="1" x14ac:dyDescent="0.25"/>
    <row r="6688" ht="15" customHeight="1" x14ac:dyDescent="0.25"/>
    <row r="6689" ht="15" customHeight="1" x14ac:dyDescent="0.25"/>
    <row r="6690" ht="15" customHeight="1" x14ac:dyDescent="0.25"/>
    <row r="6691" ht="15" customHeight="1" x14ac:dyDescent="0.25"/>
    <row r="6692" ht="15" customHeight="1" x14ac:dyDescent="0.25"/>
    <row r="6693" ht="15" customHeight="1" x14ac:dyDescent="0.25"/>
    <row r="6694" ht="15" customHeight="1" x14ac:dyDescent="0.25"/>
    <row r="6695" ht="15" customHeight="1" x14ac:dyDescent="0.25"/>
    <row r="6696" ht="15" customHeight="1" x14ac:dyDescent="0.25"/>
    <row r="6697" ht="15" customHeight="1" x14ac:dyDescent="0.25"/>
    <row r="6698" ht="15" customHeight="1" x14ac:dyDescent="0.25"/>
    <row r="6699" ht="15" customHeight="1" x14ac:dyDescent="0.25"/>
    <row r="6700" ht="15" customHeight="1" x14ac:dyDescent="0.25"/>
    <row r="6701" ht="15" customHeight="1" x14ac:dyDescent="0.25"/>
    <row r="6702" ht="15" customHeight="1" x14ac:dyDescent="0.25"/>
    <row r="6703" ht="15" customHeight="1" x14ac:dyDescent="0.25"/>
    <row r="6704" ht="15" customHeight="1" x14ac:dyDescent="0.25"/>
    <row r="6705" ht="15" customHeight="1" x14ac:dyDescent="0.25"/>
    <row r="6706" ht="15" customHeight="1" x14ac:dyDescent="0.25"/>
    <row r="6707" ht="15" customHeight="1" x14ac:dyDescent="0.25"/>
    <row r="6708" ht="15" customHeight="1" x14ac:dyDescent="0.25"/>
    <row r="6709" ht="15" customHeight="1" x14ac:dyDescent="0.25"/>
    <row r="6710" ht="15" customHeight="1" x14ac:dyDescent="0.25"/>
    <row r="6711" ht="15" customHeight="1" x14ac:dyDescent="0.25"/>
    <row r="6712" ht="15" customHeight="1" x14ac:dyDescent="0.25"/>
    <row r="6713" ht="15" customHeight="1" x14ac:dyDescent="0.25"/>
    <row r="6714" ht="15" customHeight="1" x14ac:dyDescent="0.25"/>
    <row r="6715" ht="15" customHeight="1" x14ac:dyDescent="0.25"/>
    <row r="6716" ht="15" customHeight="1" x14ac:dyDescent="0.25"/>
    <row r="6717" ht="15" customHeight="1" x14ac:dyDescent="0.25"/>
    <row r="6718" ht="15" customHeight="1" x14ac:dyDescent="0.25"/>
    <row r="6719" ht="15" customHeight="1" x14ac:dyDescent="0.25"/>
    <row r="6720" ht="15" customHeight="1" x14ac:dyDescent="0.25"/>
    <row r="6721" ht="15" customHeight="1" x14ac:dyDescent="0.25"/>
    <row r="6722" ht="15" customHeight="1" x14ac:dyDescent="0.25"/>
    <row r="6723" ht="15" customHeight="1" x14ac:dyDescent="0.25"/>
    <row r="6724" ht="15" customHeight="1" x14ac:dyDescent="0.25"/>
    <row r="6725" ht="15" customHeight="1" x14ac:dyDescent="0.25"/>
    <row r="6726" ht="15" customHeight="1" x14ac:dyDescent="0.25"/>
    <row r="6727" ht="15" customHeight="1" x14ac:dyDescent="0.25"/>
    <row r="6728" ht="15" customHeight="1" x14ac:dyDescent="0.25"/>
    <row r="6729" ht="15" customHeight="1" x14ac:dyDescent="0.25"/>
    <row r="6730" ht="15" customHeight="1" x14ac:dyDescent="0.25"/>
    <row r="6731" ht="15" customHeight="1" x14ac:dyDescent="0.25"/>
    <row r="6732" ht="15" customHeight="1" x14ac:dyDescent="0.25"/>
    <row r="6733" ht="15" customHeight="1" x14ac:dyDescent="0.25"/>
    <row r="6734" ht="15" customHeight="1" x14ac:dyDescent="0.25"/>
    <row r="6735" ht="15" customHeight="1" x14ac:dyDescent="0.25"/>
    <row r="6736" ht="15" customHeight="1" x14ac:dyDescent="0.25"/>
    <row r="6737" ht="15" customHeight="1" x14ac:dyDescent="0.25"/>
    <row r="6738" ht="15" customHeight="1" x14ac:dyDescent="0.25"/>
    <row r="6739" ht="15" customHeight="1" x14ac:dyDescent="0.25"/>
    <row r="6740" ht="15" customHeight="1" x14ac:dyDescent="0.25"/>
    <row r="6741" ht="15" customHeight="1" x14ac:dyDescent="0.25"/>
    <row r="6742" ht="15" customHeight="1" x14ac:dyDescent="0.25"/>
    <row r="6743" ht="15" customHeight="1" x14ac:dyDescent="0.25"/>
    <row r="6744" ht="15" customHeight="1" x14ac:dyDescent="0.25"/>
    <row r="6745" ht="15" customHeight="1" x14ac:dyDescent="0.25"/>
    <row r="6746" ht="15" customHeight="1" x14ac:dyDescent="0.25"/>
    <row r="6747" ht="15" customHeight="1" x14ac:dyDescent="0.25"/>
    <row r="6748" ht="15" customHeight="1" x14ac:dyDescent="0.25"/>
    <row r="6749" ht="15" customHeight="1" x14ac:dyDescent="0.25"/>
    <row r="6750" ht="15" customHeight="1" x14ac:dyDescent="0.25"/>
    <row r="6751" ht="15" customHeight="1" x14ac:dyDescent="0.25"/>
    <row r="6752" ht="15" customHeight="1" x14ac:dyDescent="0.25"/>
    <row r="6753" ht="15" customHeight="1" x14ac:dyDescent="0.25"/>
    <row r="6754" ht="15" customHeight="1" x14ac:dyDescent="0.25"/>
    <row r="6755" ht="15" customHeight="1" x14ac:dyDescent="0.25"/>
    <row r="6756" ht="15" customHeight="1" x14ac:dyDescent="0.25"/>
    <row r="6757" ht="15" customHeight="1" x14ac:dyDescent="0.25"/>
    <row r="6758" ht="15" customHeight="1" x14ac:dyDescent="0.25"/>
    <row r="6759" ht="15" customHeight="1" x14ac:dyDescent="0.25"/>
    <row r="6760" ht="15" customHeight="1" x14ac:dyDescent="0.25"/>
    <row r="6761" ht="15" customHeight="1" x14ac:dyDescent="0.25"/>
    <row r="6762" ht="15" customHeight="1" x14ac:dyDescent="0.25"/>
    <row r="6763" ht="15" customHeight="1" x14ac:dyDescent="0.25"/>
    <row r="6764" ht="15" customHeight="1" x14ac:dyDescent="0.25"/>
    <row r="6765" ht="15" customHeight="1" x14ac:dyDescent="0.25"/>
    <row r="6766" ht="15" customHeight="1" x14ac:dyDescent="0.25"/>
    <row r="6767" ht="15" customHeight="1" x14ac:dyDescent="0.25"/>
    <row r="6768" ht="15" customHeight="1" x14ac:dyDescent="0.25"/>
    <row r="6769" ht="15" customHeight="1" x14ac:dyDescent="0.25"/>
    <row r="6770" ht="15" customHeight="1" x14ac:dyDescent="0.25"/>
    <row r="6771" ht="15" customHeight="1" x14ac:dyDescent="0.25"/>
    <row r="6772" ht="15" customHeight="1" x14ac:dyDescent="0.25"/>
    <row r="6773" ht="15" customHeight="1" x14ac:dyDescent="0.25"/>
    <row r="6774" ht="15" customHeight="1" x14ac:dyDescent="0.25"/>
    <row r="6775" ht="15" customHeight="1" x14ac:dyDescent="0.25"/>
    <row r="6776" ht="15" customHeight="1" x14ac:dyDescent="0.25"/>
    <row r="6777" ht="15" customHeight="1" x14ac:dyDescent="0.25"/>
    <row r="6778" ht="15" customHeight="1" x14ac:dyDescent="0.25"/>
    <row r="6779" ht="15" customHeight="1" x14ac:dyDescent="0.25"/>
    <row r="6780" ht="15" customHeight="1" x14ac:dyDescent="0.25"/>
    <row r="6781" ht="15" customHeight="1" x14ac:dyDescent="0.25"/>
    <row r="6782" ht="15" customHeight="1" x14ac:dyDescent="0.25"/>
    <row r="6783" ht="15" customHeight="1" x14ac:dyDescent="0.25"/>
    <row r="6784" ht="15" customHeight="1" x14ac:dyDescent="0.25"/>
    <row r="6785" ht="15" customHeight="1" x14ac:dyDescent="0.25"/>
    <row r="6786" ht="15" customHeight="1" x14ac:dyDescent="0.25"/>
    <row r="6787" ht="15" customHeight="1" x14ac:dyDescent="0.25"/>
    <row r="6788" ht="15" customHeight="1" x14ac:dyDescent="0.25"/>
    <row r="6789" ht="15" customHeight="1" x14ac:dyDescent="0.25"/>
    <row r="6790" ht="15" customHeight="1" x14ac:dyDescent="0.25"/>
    <row r="6791" ht="15" customHeight="1" x14ac:dyDescent="0.25"/>
    <row r="6792" ht="15" customHeight="1" x14ac:dyDescent="0.25"/>
    <row r="6793" ht="15" customHeight="1" x14ac:dyDescent="0.25"/>
    <row r="6794" ht="15" customHeight="1" x14ac:dyDescent="0.25"/>
    <row r="6795" ht="15" customHeight="1" x14ac:dyDescent="0.25"/>
    <row r="6796" ht="15" customHeight="1" x14ac:dyDescent="0.25"/>
    <row r="6797" ht="15" customHeight="1" x14ac:dyDescent="0.25"/>
    <row r="6798" ht="15" customHeight="1" x14ac:dyDescent="0.25"/>
    <row r="6799" ht="15" customHeight="1" x14ac:dyDescent="0.25"/>
    <row r="6800" ht="15" customHeight="1" x14ac:dyDescent="0.25"/>
    <row r="6801" ht="15" customHeight="1" x14ac:dyDescent="0.25"/>
    <row r="6802" ht="15" customHeight="1" x14ac:dyDescent="0.25"/>
    <row r="6803" ht="15" customHeight="1" x14ac:dyDescent="0.25"/>
    <row r="6804" ht="15" customHeight="1" x14ac:dyDescent="0.25"/>
    <row r="6805" ht="15" customHeight="1" x14ac:dyDescent="0.25"/>
    <row r="6806" ht="15" customHeight="1" x14ac:dyDescent="0.25"/>
    <row r="6807" ht="15" customHeight="1" x14ac:dyDescent="0.25"/>
    <row r="6808" ht="15" customHeight="1" x14ac:dyDescent="0.25"/>
    <row r="6809" ht="15" customHeight="1" x14ac:dyDescent="0.25"/>
    <row r="6810" ht="15" customHeight="1" x14ac:dyDescent="0.25"/>
    <row r="6811" ht="15" customHeight="1" x14ac:dyDescent="0.25"/>
    <row r="6812" ht="15" customHeight="1" x14ac:dyDescent="0.25"/>
    <row r="6813" ht="15" customHeight="1" x14ac:dyDescent="0.25"/>
    <row r="6814" ht="15" customHeight="1" x14ac:dyDescent="0.25"/>
    <row r="6815" ht="15" customHeight="1" x14ac:dyDescent="0.25"/>
    <row r="6816" ht="15" customHeight="1" x14ac:dyDescent="0.25"/>
    <row r="6817" ht="15" customHeight="1" x14ac:dyDescent="0.25"/>
    <row r="6818" ht="15" customHeight="1" x14ac:dyDescent="0.25"/>
    <row r="6819" ht="15" customHeight="1" x14ac:dyDescent="0.25"/>
    <row r="6820" ht="15" customHeight="1" x14ac:dyDescent="0.25"/>
    <row r="6821" ht="15" customHeight="1" x14ac:dyDescent="0.25"/>
    <row r="6822" ht="15" customHeight="1" x14ac:dyDescent="0.25"/>
    <row r="6823" ht="15" customHeight="1" x14ac:dyDescent="0.25"/>
    <row r="6824" ht="15" customHeight="1" x14ac:dyDescent="0.25"/>
    <row r="6825" ht="15" customHeight="1" x14ac:dyDescent="0.25"/>
    <row r="6826" ht="15" customHeight="1" x14ac:dyDescent="0.25"/>
    <row r="6827" ht="15" customHeight="1" x14ac:dyDescent="0.25"/>
    <row r="6828" ht="15" customHeight="1" x14ac:dyDescent="0.25"/>
    <row r="6829" ht="15" customHeight="1" x14ac:dyDescent="0.25"/>
    <row r="6830" ht="15" customHeight="1" x14ac:dyDescent="0.25"/>
    <row r="6831" ht="15" customHeight="1" x14ac:dyDescent="0.25"/>
    <row r="6832" ht="15" customHeight="1" x14ac:dyDescent="0.25"/>
    <row r="6833" ht="15" customHeight="1" x14ac:dyDescent="0.25"/>
    <row r="6834" ht="15" customHeight="1" x14ac:dyDescent="0.25"/>
    <row r="6835" ht="15" customHeight="1" x14ac:dyDescent="0.25"/>
    <row r="6836" ht="15" customHeight="1" x14ac:dyDescent="0.25"/>
    <row r="6837" ht="15" customHeight="1" x14ac:dyDescent="0.25"/>
    <row r="6838" ht="15" customHeight="1" x14ac:dyDescent="0.25"/>
    <row r="6839" ht="15" customHeight="1" x14ac:dyDescent="0.25"/>
    <row r="6840" ht="15" customHeight="1" x14ac:dyDescent="0.25"/>
    <row r="6841" ht="15" customHeight="1" x14ac:dyDescent="0.25"/>
    <row r="6842" ht="15" customHeight="1" x14ac:dyDescent="0.25"/>
    <row r="6843" ht="15" customHeight="1" x14ac:dyDescent="0.25"/>
    <row r="6844" ht="15" customHeight="1" x14ac:dyDescent="0.25"/>
    <row r="6845" ht="15" customHeight="1" x14ac:dyDescent="0.25"/>
    <row r="6846" ht="15" customHeight="1" x14ac:dyDescent="0.25"/>
    <row r="6847" ht="15" customHeight="1" x14ac:dyDescent="0.25"/>
    <row r="6848" ht="15" customHeight="1" x14ac:dyDescent="0.25"/>
    <row r="6849" ht="15" customHeight="1" x14ac:dyDescent="0.25"/>
    <row r="6850" ht="15" customHeight="1" x14ac:dyDescent="0.25"/>
    <row r="6851" ht="15" customHeight="1" x14ac:dyDescent="0.25"/>
    <row r="6852" ht="15" customHeight="1" x14ac:dyDescent="0.25"/>
    <row r="6853" ht="15" customHeight="1" x14ac:dyDescent="0.25"/>
    <row r="6854" ht="15" customHeight="1" x14ac:dyDescent="0.25"/>
    <row r="6855" ht="15" customHeight="1" x14ac:dyDescent="0.25"/>
    <row r="6856" ht="15" customHeight="1" x14ac:dyDescent="0.25"/>
    <row r="6857" ht="15" customHeight="1" x14ac:dyDescent="0.25"/>
    <row r="6858" ht="15" customHeight="1" x14ac:dyDescent="0.25"/>
    <row r="6859" ht="15" customHeight="1" x14ac:dyDescent="0.25"/>
    <row r="6860" ht="15" customHeight="1" x14ac:dyDescent="0.25"/>
    <row r="6861" ht="15" customHeight="1" x14ac:dyDescent="0.25"/>
    <row r="6862" ht="15" customHeight="1" x14ac:dyDescent="0.25"/>
    <row r="6863" ht="15" customHeight="1" x14ac:dyDescent="0.25"/>
    <row r="6864" ht="15" customHeight="1" x14ac:dyDescent="0.25"/>
    <row r="6865" ht="15" customHeight="1" x14ac:dyDescent="0.25"/>
    <row r="6866" ht="15" customHeight="1" x14ac:dyDescent="0.25"/>
    <row r="6867" ht="15" customHeight="1" x14ac:dyDescent="0.25"/>
    <row r="6868" ht="15" customHeight="1" x14ac:dyDescent="0.25"/>
    <row r="6869" ht="15" customHeight="1" x14ac:dyDescent="0.25"/>
    <row r="6870" ht="15" customHeight="1" x14ac:dyDescent="0.25"/>
    <row r="6871" ht="15" customHeight="1" x14ac:dyDescent="0.25"/>
    <row r="6872" ht="15" customHeight="1" x14ac:dyDescent="0.25"/>
    <row r="6873" ht="15" customHeight="1" x14ac:dyDescent="0.25"/>
    <row r="6874" ht="15" customHeight="1" x14ac:dyDescent="0.25"/>
    <row r="6875" ht="15" customHeight="1" x14ac:dyDescent="0.25"/>
    <row r="6876" ht="15" customHeight="1" x14ac:dyDescent="0.25"/>
    <row r="6877" ht="15" customHeight="1" x14ac:dyDescent="0.25"/>
    <row r="6878" ht="15" customHeight="1" x14ac:dyDescent="0.25"/>
    <row r="6879" ht="15" customHeight="1" x14ac:dyDescent="0.25"/>
    <row r="6880" ht="15" customHeight="1" x14ac:dyDescent="0.25"/>
    <row r="6881" ht="15" customHeight="1" x14ac:dyDescent="0.25"/>
    <row r="6882" ht="15" customHeight="1" x14ac:dyDescent="0.25"/>
    <row r="6883" ht="15" customHeight="1" x14ac:dyDescent="0.25"/>
    <row r="6884" ht="15" customHeight="1" x14ac:dyDescent="0.25"/>
    <row r="6885" ht="15" customHeight="1" x14ac:dyDescent="0.25"/>
    <row r="6886" ht="15" customHeight="1" x14ac:dyDescent="0.25"/>
    <row r="6887" ht="15" customHeight="1" x14ac:dyDescent="0.25"/>
    <row r="6888" ht="15" customHeight="1" x14ac:dyDescent="0.25"/>
    <row r="6889" ht="15" customHeight="1" x14ac:dyDescent="0.25"/>
    <row r="6890" ht="15" customHeight="1" x14ac:dyDescent="0.25"/>
    <row r="6891" ht="15" customHeight="1" x14ac:dyDescent="0.25"/>
    <row r="6892" ht="15" customHeight="1" x14ac:dyDescent="0.25"/>
    <row r="6893" ht="15" customHeight="1" x14ac:dyDescent="0.25"/>
    <row r="6894" ht="15" customHeight="1" x14ac:dyDescent="0.25"/>
    <row r="6895" ht="15" customHeight="1" x14ac:dyDescent="0.25"/>
    <row r="6896" ht="15" customHeight="1" x14ac:dyDescent="0.25"/>
    <row r="6897" ht="15" customHeight="1" x14ac:dyDescent="0.25"/>
    <row r="6898" ht="15" customHeight="1" x14ac:dyDescent="0.25"/>
    <row r="6899" ht="15" customHeight="1" x14ac:dyDescent="0.25"/>
    <row r="6900" ht="15" customHeight="1" x14ac:dyDescent="0.25"/>
    <row r="6901" ht="15" customHeight="1" x14ac:dyDescent="0.25"/>
    <row r="6902" ht="15" customHeight="1" x14ac:dyDescent="0.25"/>
    <row r="6903" ht="15" customHeight="1" x14ac:dyDescent="0.25"/>
    <row r="6904" ht="15" customHeight="1" x14ac:dyDescent="0.25"/>
    <row r="6905" ht="15" customHeight="1" x14ac:dyDescent="0.25"/>
    <row r="6906" ht="15" customHeight="1" x14ac:dyDescent="0.25"/>
    <row r="6907" ht="15" customHeight="1" x14ac:dyDescent="0.25"/>
    <row r="6908" ht="15" customHeight="1" x14ac:dyDescent="0.25"/>
    <row r="6909" ht="15" customHeight="1" x14ac:dyDescent="0.25"/>
    <row r="6910" ht="15" customHeight="1" x14ac:dyDescent="0.25"/>
    <row r="6911" ht="15" customHeight="1" x14ac:dyDescent="0.25"/>
    <row r="6912" ht="15" customHeight="1" x14ac:dyDescent="0.25"/>
    <row r="6913" ht="15" customHeight="1" x14ac:dyDescent="0.25"/>
    <row r="6914" ht="15" customHeight="1" x14ac:dyDescent="0.25"/>
    <row r="6915" ht="15" customHeight="1" x14ac:dyDescent="0.25"/>
    <row r="6916" ht="15" customHeight="1" x14ac:dyDescent="0.25"/>
    <row r="6917" ht="15" customHeight="1" x14ac:dyDescent="0.25"/>
    <row r="6918" ht="15" customHeight="1" x14ac:dyDescent="0.25"/>
    <row r="6919" ht="15" customHeight="1" x14ac:dyDescent="0.25"/>
    <row r="6920" ht="15" customHeight="1" x14ac:dyDescent="0.25"/>
    <row r="6921" ht="15" customHeight="1" x14ac:dyDescent="0.25"/>
    <row r="6922" ht="15" customHeight="1" x14ac:dyDescent="0.25"/>
    <row r="6923" ht="15" customHeight="1" x14ac:dyDescent="0.25"/>
    <row r="6924" ht="15" customHeight="1" x14ac:dyDescent="0.25"/>
    <row r="6925" ht="15" customHeight="1" x14ac:dyDescent="0.25"/>
    <row r="6926" ht="15" customHeight="1" x14ac:dyDescent="0.25"/>
    <row r="6927" ht="15" customHeight="1" x14ac:dyDescent="0.25"/>
    <row r="6928" ht="15" customHeight="1" x14ac:dyDescent="0.25"/>
    <row r="6929" ht="15" customHeight="1" x14ac:dyDescent="0.25"/>
    <row r="6930" ht="15" customHeight="1" x14ac:dyDescent="0.25"/>
    <row r="6931" ht="15" customHeight="1" x14ac:dyDescent="0.25"/>
    <row r="6932" ht="15" customHeight="1" x14ac:dyDescent="0.25"/>
    <row r="6933" ht="15" customHeight="1" x14ac:dyDescent="0.25"/>
    <row r="6934" ht="15" customHeight="1" x14ac:dyDescent="0.25"/>
    <row r="6935" ht="15" customHeight="1" x14ac:dyDescent="0.25"/>
    <row r="6936" ht="15" customHeight="1" x14ac:dyDescent="0.25"/>
    <row r="6937" ht="15" customHeight="1" x14ac:dyDescent="0.25"/>
    <row r="6938" ht="15" customHeight="1" x14ac:dyDescent="0.25"/>
    <row r="6939" ht="15" customHeight="1" x14ac:dyDescent="0.25"/>
    <row r="6940" ht="15" customHeight="1" x14ac:dyDescent="0.25"/>
    <row r="6941" ht="15" customHeight="1" x14ac:dyDescent="0.25"/>
    <row r="6942" ht="15" customHeight="1" x14ac:dyDescent="0.25"/>
    <row r="6943" ht="15" customHeight="1" x14ac:dyDescent="0.25"/>
    <row r="6944" ht="15" customHeight="1" x14ac:dyDescent="0.25"/>
    <row r="6945" ht="15" customHeight="1" x14ac:dyDescent="0.25"/>
    <row r="6946" ht="15" customHeight="1" x14ac:dyDescent="0.25"/>
    <row r="6947" ht="15" customHeight="1" x14ac:dyDescent="0.25"/>
    <row r="6948" ht="15" customHeight="1" x14ac:dyDescent="0.25"/>
    <row r="6949" ht="15" customHeight="1" x14ac:dyDescent="0.25"/>
    <row r="6950" ht="15" customHeight="1" x14ac:dyDescent="0.25"/>
    <row r="6951" ht="15" customHeight="1" x14ac:dyDescent="0.25"/>
    <row r="6952" ht="15" customHeight="1" x14ac:dyDescent="0.25"/>
    <row r="6953" ht="15" customHeight="1" x14ac:dyDescent="0.25"/>
    <row r="6954" ht="15" customHeight="1" x14ac:dyDescent="0.25"/>
    <row r="6955" ht="15" customHeight="1" x14ac:dyDescent="0.25"/>
    <row r="6956" ht="15" customHeight="1" x14ac:dyDescent="0.25"/>
    <row r="6957" ht="15" customHeight="1" x14ac:dyDescent="0.25"/>
    <row r="6958" ht="15" customHeight="1" x14ac:dyDescent="0.25"/>
    <row r="6959" ht="15" customHeight="1" x14ac:dyDescent="0.25"/>
    <row r="6960" ht="15" customHeight="1" x14ac:dyDescent="0.25"/>
    <row r="6961" ht="15" customHeight="1" x14ac:dyDescent="0.25"/>
    <row r="6962" ht="15" customHeight="1" x14ac:dyDescent="0.25"/>
    <row r="6963" ht="15" customHeight="1" x14ac:dyDescent="0.25"/>
    <row r="6964" ht="15" customHeight="1" x14ac:dyDescent="0.25"/>
    <row r="6965" ht="15" customHeight="1" x14ac:dyDescent="0.25"/>
    <row r="6966" ht="15" customHeight="1" x14ac:dyDescent="0.25"/>
    <row r="6967" ht="15" customHeight="1" x14ac:dyDescent="0.25"/>
    <row r="6968" ht="15" customHeight="1" x14ac:dyDescent="0.25"/>
    <row r="6969" ht="15" customHeight="1" x14ac:dyDescent="0.25"/>
    <row r="6970" ht="15" customHeight="1" x14ac:dyDescent="0.25"/>
    <row r="6971" ht="15" customHeight="1" x14ac:dyDescent="0.25"/>
    <row r="6972" ht="15" customHeight="1" x14ac:dyDescent="0.25"/>
    <row r="6973" ht="15" customHeight="1" x14ac:dyDescent="0.25"/>
    <row r="6974" ht="15" customHeight="1" x14ac:dyDescent="0.25"/>
    <row r="6975" ht="15" customHeight="1" x14ac:dyDescent="0.25"/>
    <row r="6976" ht="15" customHeight="1" x14ac:dyDescent="0.25"/>
    <row r="6977" ht="15" customHeight="1" x14ac:dyDescent="0.25"/>
    <row r="6978" ht="15" customHeight="1" x14ac:dyDescent="0.25"/>
    <row r="6979" ht="15" customHeight="1" x14ac:dyDescent="0.25"/>
    <row r="6980" ht="15" customHeight="1" x14ac:dyDescent="0.25"/>
    <row r="6981" ht="15" customHeight="1" x14ac:dyDescent="0.25"/>
    <row r="6982" ht="15" customHeight="1" x14ac:dyDescent="0.25"/>
    <row r="6983" ht="15" customHeight="1" x14ac:dyDescent="0.25"/>
    <row r="6984" ht="15" customHeight="1" x14ac:dyDescent="0.25"/>
    <row r="6985" ht="15" customHeight="1" x14ac:dyDescent="0.25"/>
    <row r="6986" ht="15" customHeight="1" x14ac:dyDescent="0.25"/>
    <row r="6987" ht="15" customHeight="1" x14ac:dyDescent="0.25"/>
    <row r="6988" ht="15" customHeight="1" x14ac:dyDescent="0.25"/>
    <row r="6989" ht="15" customHeight="1" x14ac:dyDescent="0.25"/>
    <row r="6990" ht="15" customHeight="1" x14ac:dyDescent="0.25"/>
    <row r="6991" ht="15" customHeight="1" x14ac:dyDescent="0.25"/>
    <row r="6992" ht="15" customHeight="1" x14ac:dyDescent="0.25"/>
    <row r="6993" ht="15" customHeight="1" x14ac:dyDescent="0.25"/>
    <row r="6994" ht="15" customHeight="1" x14ac:dyDescent="0.25"/>
    <row r="6995" ht="15" customHeight="1" x14ac:dyDescent="0.25"/>
    <row r="6996" ht="15" customHeight="1" x14ac:dyDescent="0.25"/>
    <row r="6997" ht="15" customHeight="1" x14ac:dyDescent="0.25"/>
    <row r="6998" ht="15" customHeight="1" x14ac:dyDescent="0.25"/>
    <row r="6999" ht="15" customHeight="1" x14ac:dyDescent="0.25"/>
    <row r="7000" ht="15" customHeight="1" x14ac:dyDescent="0.25"/>
    <row r="7001" ht="15" customHeight="1" x14ac:dyDescent="0.25"/>
    <row r="7002" ht="15" customHeight="1" x14ac:dyDescent="0.25"/>
    <row r="7003" ht="15" customHeight="1" x14ac:dyDescent="0.25"/>
    <row r="7004" ht="15" customHeight="1" x14ac:dyDescent="0.25"/>
    <row r="7005" ht="15" customHeight="1" x14ac:dyDescent="0.25"/>
    <row r="7006" ht="15" customHeight="1" x14ac:dyDescent="0.25"/>
    <row r="7007" ht="15" customHeight="1" x14ac:dyDescent="0.25"/>
    <row r="7008" ht="15" customHeight="1" x14ac:dyDescent="0.25"/>
    <row r="7009" ht="15" customHeight="1" x14ac:dyDescent="0.25"/>
    <row r="7010" ht="15" customHeight="1" x14ac:dyDescent="0.25"/>
    <row r="7011" ht="15" customHeight="1" x14ac:dyDescent="0.25"/>
    <row r="7012" ht="15" customHeight="1" x14ac:dyDescent="0.25"/>
    <row r="7013" ht="15" customHeight="1" x14ac:dyDescent="0.25"/>
    <row r="7014" ht="15" customHeight="1" x14ac:dyDescent="0.25"/>
    <row r="7015" ht="15" customHeight="1" x14ac:dyDescent="0.25"/>
    <row r="7016" ht="15" customHeight="1" x14ac:dyDescent="0.25"/>
    <row r="7017" ht="15" customHeight="1" x14ac:dyDescent="0.25"/>
    <row r="7018" ht="15" customHeight="1" x14ac:dyDescent="0.25"/>
    <row r="7019" ht="15" customHeight="1" x14ac:dyDescent="0.25"/>
    <row r="7020" ht="15" customHeight="1" x14ac:dyDescent="0.25"/>
    <row r="7021" ht="15" customHeight="1" x14ac:dyDescent="0.25"/>
    <row r="7022" ht="15" customHeight="1" x14ac:dyDescent="0.25"/>
    <row r="7023" ht="15" customHeight="1" x14ac:dyDescent="0.25"/>
    <row r="7024" ht="15" customHeight="1" x14ac:dyDescent="0.25"/>
    <row r="7025" ht="15" customHeight="1" x14ac:dyDescent="0.25"/>
    <row r="7026" ht="15" customHeight="1" x14ac:dyDescent="0.25"/>
    <row r="7027" ht="15" customHeight="1" x14ac:dyDescent="0.25"/>
    <row r="7028" ht="15" customHeight="1" x14ac:dyDescent="0.25"/>
    <row r="7029" ht="15" customHeight="1" x14ac:dyDescent="0.25"/>
    <row r="7030" ht="15" customHeight="1" x14ac:dyDescent="0.25"/>
    <row r="7031" ht="15" customHeight="1" x14ac:dyDescent="0.25"/>
    <row r="7032" ht="15" customHeight="1" x14ac:dyDescent="0.25"/>
    <row r="7033" ht="15" customHeight="1" x14ac:dyDescent="0.25"/>
    <row r="7034" ht="15" customHeight="1" x14ac:dyDescent="0.25"/>
    <row r="7035" ht="15" customHeight="1" x14ac:dyDescent="0.25"/>
    <row r="7036" ht="15" customHeight="1" x14ac:dyDescent="0.25"/>
    <row r="7037" ht="15" customHeight="1" x14ac:dyDescent="0.25"/>
    <row r="7038" ht="15" customHeight="1" x14ac:dyDescent="0.25"/>
    <row r="7039" ht="15" customHeight="1" x14ac:dyDescent="0.25"/>
    <row r="7040" ht="15" customHeight="1" x14ac:dyDescent="0.25"/>
    <row r="7041" ht="15" customHeight="1" x14ac:dyDescent="0.25"/>
    <row r="7042" ht="15" customHeight="1" x14ac:dyDescent="0.25"/>
    <row r="7043" ht="15" customHeight="1" x14ac:dyDescent="0.25"/>
    <row r="7044" ht="15" customHeight="1" x14ac:dyDescent="0.25"/>
    <row r="7045" ht="15" customHeight="1" x14ac:dyDescent="0.25"/>
    <row r="7046" ht="15" customHeight="1" x14ac:dyDescent="0.25"/>
    <row r="7047" ht="15" customHeight="1" x14ac:dyDescent="0.25"/>
    <row r="7048" ht="15" customHeight="1" x14ac:dyDescent="0.25"/>
    <row r="7049" ht="15" customHeight="1" x14ac:dyDescent="0.25"/>
    <row r="7050" ht="15" customHeight="1" x14ac:dyDescent="0.25"/>
    <row r="7051" ht="15" customHeight="1" x14ac:dyDescent="0.25"/>
    <row r="7052" ht="15" customHeight="1" x14ac:dyDescent="0.25"/>
    <row r="7053" ht="15" customHeight="1" x14ac:dyDescent="0.25"/>
    <row r="7054" ht="15" customHeight="1" x14ac:dyDescent="0.25"/>
    <row r="7055" ht="15" customHeight="1" x14ac:dyDescent="0.25"/>
    <row r="7056" ht="15" customHeight="1" x14ac:dyDescent="0.25"/>
    <row r="7057" ht="15" customHeight="1" x14ac:dyDescent="0.25"/>
    <row r="7058" ht="15" customHeight="1" x14ac:dyDescent="0.25"/>
    <row r="7059" ht="15" customHeight="1" x14ac:dyDescent="0.25"/>
    <row r="7060" ht="15" customHeight="1" x14ac:dyDescent="0.25"/>
    <row r="7061" ht="15" customHeight="1" x14ac:dyDescent="0.25"/>
    <row r="7062" ht="15" customHeight="1" x14ac:dyDescent="0.25"/>
    <row r="7063" ht="15" customHeight="1" x14ac:dyDescent="0.25"/>
    <row r="7064" ht="15" customHeight="1" x14ac:dyDescent="0.25"/>
    <row r="7065" ht="15" customHeight="1" x14ac:dyDescent="0.25"/>
    <row r="7066" ht="15" customHeight="1" x14ac:dyDescent="0.25"/>
    <row r="7067" ht="15" customHeight="1" x14ac:dyDescent="0.25"/>
    <row r="7068" ht="15" customHeight="1" x14ac:dyDescent="0.25"/>
    <row r="7069" ht="15" customHeight="1" x14ac:dyDescent="0.25"/>
    <row r="7070" ht="15" customHeight="1" x14ac:dyDescent="0.25"/>
    <row r="7071" ht="15" customHeight="1" x14ac:dyDescent="0.25"/>
    <row r="7072" ht="15" customHeight="1" x14ac:dyDescent="0.25"/>
    <row r="7073" ht="15" customHeight="1" x14ac:dyDescent="0.25"/>
    <row r="7074" ht="15" customHeight="1" x14ac:dyDescent="0.25"/>
    <row r="7075" ht="15" customHeight="1" x14ac:dyDescent="0.25"/>
    <row r="7076" ht="15" customHeight="1" x14ac:dyDescent="0.25"/>
    <row r="7077" ht="15" customHeight="1" x14ac:dyDescent="0.25"/>
    <row r="7078" ht="15" customHeight="1" x14ac:dyDescent="0.25"/>
    <row r="7079" ht="15" customHeight="1" x14ac:dyDescent="0.25"/>
    <row r="7080" ht="15" customHeight="1" x14ac:dyDescent="0.25"/>
    <row r="7081" ht="15" customHeight="1" x14ac:dyDescent="0.25"/>
    <row r="7082" ht="15" customHeight="1" x14ac:dyDescent="0.25"/>
    <row r="7083" ht="15" customHeight="1" x14ac:dyDescent="0.25"/>
    <row r="7084" ht="15" customHeight="1" x14ac:dyDescent="0.25"/>
    <row r="7085" ht="15" customHeight="1" x14ac:dyDescent="0.25"/>
    <row r="7086" ht="15" customHeight="1" x14ac:dyDescent="0.25"/>
    <row r="7087" ht="15" customHeight="1" x14ac:dyDescent="0.25"/>
    <row r="7088" ht="15" customHeight="1" x14ac:dyDescent="0.25"/>
    <row r="7089" ht="15" customHeight="1" x14ac:dyDescent="0.25"/>
    <row r="7090" ht="15" customHeight="1" x14ac:dyDescent="0.25"/>
    <row r="7091" ht="15" customHeight="1" x14ac:dyDescent="0.25"/>
    <row r="7092" ht="15" customHeight="1" x14ac:dyDescent="0.25"/>
    <row r="7093" ht="15" customHeight="1" x14ac:dyDescent="0.25"/>
    <row r="7094" ht="15" customHeight="1" x14ac:dyDescent="0.25"/>
    <row r="7095" ht="15" customHeight="1" x14ac:dyDescent="0.25"/>
    <row r="7096" ht="15" customHeight="1" x14ac:dyDescent="0.25"/>
    <row r="7097" ht="15" customHeight="1" x14ac:dyDescent="0.25"/>
    <row r="7098" ht="15" customHeight="1" x14ac:dyDescent="0.25"/>
    <row r="7099" ht="15" customHeight="1" x14ac:dyDescent="0.25"/>
    <row r="7100" ht="15" customHeight="1" x14ac:dyDescent="0.25"/>
    <row r="7101" ht="15" customHeight="1" x14ac:dyDescent="0.25"/>
    <row r="7102" ht="15" customHeight="1" x14ac:dyDescent="0.25"/>
    <row r="7103" ht="15" customHeight="1" x14ac:dyDescent="0.25"/>
    <row r="7104" ht="15" customHeight="1" x14ac:dyDescent="0.25"/>
    <row r="7105" ht="15" customHeight="1" x14ac:dyDescent="0.25"/>
    <row r="7106" ht="15" customHeight="1" x14ac:dyDescent="0.25"/>
    <row r="7107" ht="15" customHeight="1" x14ac:dyDescent="0.25"/>
    <row r="7108" ht="15" customHeight="1" x14ac:dyDescent="0.25"/>
    <row r="7109" ht="15" customHeight="1" x14ac:dyDescent="0.25"/>
    <row r="7110" ht="15" customHeight="1" x14ac:dyDescent="0.25"/>
    <row r="7111" ht="15" customHeight="1" x14ac:dyDescent="0.25"/>
    <row r="7112" ht="15" customHeight="1" x14ac:dyDescent="0.25"/>
    <row r="7113" ht="15" customHeight="1" x14ac:dyDescent="0.25"/>
    <row r="7114" ht="15" customHeight="1" x14ac:dyDescent="0.25"/>
    <row r="7115" ht="15" customHeight="1" x14ac:dyDescent="0.25"/>
    <row r="7116" ht="15" customHeight="1" x14ac:dyDescent="0.25"/>
    <row r="7117" ht="15" customHeight="1" x14ac:dyDescent="0.25"/>
    <row r="7118" ht="15" customHeight="1" x14ac:dyDescent="0.25"/>
    <row r="7119" ht="15" customHeight="1" x14ac:dyDescent="0.25"/>
    <row r="7120" ht="15" customHeight="1" x14ac:dyDescent="0.25"/>
    <row r="7121" ht="15" customHeight="1" x14ac:dyDescent="0.25"/>
    <row r="7122" ht="15" customHeight="1" x14ac:dyDescent="0.25"/>
    <row r="7123" ht="15" customHeight="1" x14ac:dyDescent="0.25"/>
    <row r="7124" ht="15" customHeight="1" x14ac:dyDescent="0.25"/>
    <row r="7125" ht="15" customHeight="1" x14ac:dyDescent="0.25"/>
    <row r="7126" ht="15" customHeight="1" x14ac:dyDescent="0.25"/>
    <row r="7127" ht="15" customHeight="1" x14ac:dyDescent="0.25"/>
    <row r="7128" ht="15" customHeight="1" x14ac:dyDescent="0.25"/>
    <row r="7129" ht="15" customHeight="1" x14ac:dyDescent="0.25"/>
    <row r="7130" ht="15" customHeight="1" x14ac:dyDescent="0.25"/>
    <row r="7131" ht="15" customHeight="1" x14ac:dyDescent="0.25"/>
    <row r="7132" ht="15" customHeight="1" x14ac:dyDescent="0.25"/>
    <row r="7133" ht="15" customHeight="1" x14ac:dyDescent="0.25"/>
    <row r="7134" ht="15" customHeight="1" x14ac:dyDescent="0.25"/>
    <row r="7135" ht="15" customHeight="1" x14ac:dyDescent="0.25"/>
    <row r="7136" ht="15" customHeight="1" x14ac:dyDescent="0.25"/>
    <row r="7137" ht="15" customHeight="1" x14ac:dyDescent="0.25"/>
    <row r="7138" ht="15" customHeight="1" x14ac:dyDescent="0.25"/>
    <row r="7139" ht="15" customHeight="1" x14ac:dyDescent="0.25"/>
    <row r="7140" ht="15" customHeight="1" x14ac:dyDescent="0.25"/>
    <row r="7141" ht="15" customHeight="1" x14ac:dyDescent="0.25"/>
    <row r="7142" ht="15" customHeight="1" x14ac:dyDescent="0.25"/>
    <row r="7143" ht="15" customHeight="1" x14ac:dyDescent="0.25"/>
    <row r="7144" ht="15" customHeight="1" x14ac:dyDescent="0.25"/>
    <row r="7145" ht="15" customHeight="1" x14ac:dyDescent="0.25"/>
    <row r="7146" ht="15" customHeight="1" x14ac:dyDescent="0.25"/>
    <row r="7147" ht="15" customHeight="1" x14ac:dyDescent="0.25"/>
    <row r="7148" ht="15" customHeight="1" x14ac:dyDescent="0.25"/>
    <row r="7149" ht="15" customHeight="1" x14ac:dyDescent="0.25"/>
    <row r="7150" ht="15" customHeight="1" x14ac:dyDescent="0.25"/>
    <row r="7151" ht="15" customHeight="1" x14ac:dyDescent="0.25"/>
    <row r="7152" ht="15" customHeight="1" x14ac:dyDescent="0.25"/>
    <row r="7153" ht="15" customHeight="1" x14ac:dyDescent="0.25"/>
    <row r="7154" ht="15" customHeight="1" x14ac:dyDescent="0.25"/>
    <row r="7155" ht="15" customHeight="1" x14ac:dyDescent="0.25"/>
    <row r="7156" ht="15" customHeight="1" x14ac:dyDescent="0.25"/>
    <row r="7157" ht="15" customHeight="1" x14ac:dyDescent="0.25"/>
    <row r="7158" ht="15" customHeight="1" x14ac:dyDescent="0.25"/>
    <row r="7159" ht="15" customHeight="1" x14ac:dyDescent="0.25"/>
    <row r="7160" ht="15" customHeight="1" x14ac:dyDescent="0.25"/>
    <row r="7161" ht="15" customHeight="1" x14ac:dyDescent="0.25"/>
    <row r="7162" ht="15" customHeight="1" x14ac:dyDescent="0.25"/>
    <row r="7163" ht="15" customHeight="1" x14ac:dyDescent="0.25"/>
    <row r="7164" ht="15" customHeight="1" x14ac:dyDescent="0.25"/>
    <row r="7165" ht="15" customHeight="1" x14ac:dyDescent="0.25"/>
    <row r="7166" ht="15" customHeight="1" x14ac:dyDescent="0.25"/>
    <row r="7167" ht="15" customHeight="1" x14ac:dyDescent="0.25"/>
    <row r="7168" ht="15" customHeight="1" x14ac:dyDescent="0.25"/>
    <row r="7169" ht="15" customHeight="1" x14ac:dyDescent="0.25"/>
    <row r="7170" ht="15" customHeight="1" x14ac:dyDescent="0.25"/>
    <row r="7171" ht="15" customHeight="1" x14ac:dyDescent="0.25"/>
    <row r="7172" ht="15" customHeight="1" x14ac:dyDescent="0.25"/>
    <row r="7173" ht="15" customHeight="1" x14ac:dyDescent="0.25"/>
    <row r="7174" ht="15" customHeight="1" x14ac:dyDescent="0.25"/>
    <row r="7175" ht="15" customHeight="1" x14ac:dyDescent="0.25"/>
    <row r="7176" ht="15" customHeight="1" x14ac:dyDescent="0.25"/>
    <row r="7177" ht="15" customHeight="1" x14ac:dyDescent="0.25"/>
    <row r="7178" ht="15" customHeight="1" x14ac:dyDescent="0.25"/>
    <row r="7179" ht="15" customHeight="1" x14ac:dyDescent="0.25"/>
    <row r="7180" ht="15" customHeight="1" x14ac:dyDescent="0.25"/>
    <row r="7181" ht="15" customHeight="1" x14ac:dyDescent="0.25"/>
    <row r="7182" ht="15" customHeight="1" x14ac:dyDescent="0.25"/>
    <row r="7183" ht="15" customHeight="1" x14ac:dyDescent="0.25"/>
    <row r="7184" ht="15" customHeight="1" x14ac:dyDescent="0.25"/>
    <row r="7185" ht="15" customHeight="1" x14ac:dyDescent="0.25"/>
    <row r="7186" ht="15" customHeight="1" x14ac:dyDescent="0.25"/>
    <row r="7187" ht="15" customHeight="1" x14ac:dyDescent="0.25"/>
    <row r="7188" ht="15" customHeight="1" x14ac:dyDescent="0.25"/>
    <row r="7189" ht="15" customHeight="1" x14ac:dyDescent="0.25"/>
    <row r="7190" ht="15" customHeight="1" x14ac:dyDescent="0.25"/>
    <row r="7191" ht="15" customHeight="1" x14ac:dyDescent="0.25"/>
    <row r="7192" ht="15" customHeight="1" x14ac:dyDescent="0.25"/>
    <row r="7193" ht="15" customHeight="1" x14ac:dyDescent="0.25"/>
    <row r="7194" ht="15" customHeight="1" x14ac:dyDescent="0.25"/>
    <row r="7195" ht="15" customHeight="1" x14ac:dyDescent="0.25"/>
    <row r="7196" ht="15" customHeight="1" x14ac:dyDescent="0.25"/>
    <row r="7197" ht="15" customHeight="1" x14ac:dyDescent="0.25"/>
    <row r="7198" ht="15" customHeight="1" x14ac:dyDescent="0.25"/>
    <row r="7199" ht="15" customHeight="1" x14ac:dyDescent="0.25"/>
    <row r="7200" ht="15" customHeight="1" x14ac:dyDescent="0.25"/>
    <row r="7201" ht="15" customHeight="1" x14ac:dyDescent="0.25"/>
    <row r="7202" ht="15" customHeight="1" x14ac:dyDescent="0.25"/>
    <row r="7203" ht="15" customHeight="1" x14ac:dyDescent="0.25"/>
    <row r="7204" ht="15" customHeight="1" x14ac:dyDescent="0.25"/>
    <row r="7205" ht="15" customHeight="1" x14ac:dyDescent="0.25"/>
    <row r="7206" ht="15" customHeight="1" x14ac:dyDescent="0.25"/>
    <row r="7207" ht="15" customHeight="1" x14ac:dyDescent="0.25"/>
    <row r="7208" ht="15" customHeight="1" x14ac:dyDescent="0.25"/>
    <row r="7209" ht="15" customHeight="1" x14ac:dyDescent="0.25"/>
    <row r="7210" ht="15" customHeight="1" x14ac:dyDescent="0.25"/>
    <row r="7211" ht="15" customHeight="1" x14ac:dyDescent="0.25"/>
    <row r="7212" ht="15" customHeight="1" x14ac:dyDescent="0.25"/>
    <row r="7213" ht="15" customHeight="1" x14ac:dyDescent="0.25"/>
    <row r="7214" ht="15" customHeight="1" x14ac:dyDescent="0.25"/>
    <row r="7215" ht="15" customHeight="1" x14ac:dyDescent="0.25"/>
    <row r="7216" ht="15" customHeight="1" x14ac:dyDescent="0.25"/>
    <row r="7217" ht="15" customHeight="1" x14ac:dyDescent="0.25"/>
    <row r="7218" ht="15" customHeight="1" x14ac:dyDescent="0.25"/>
    <row r="7219" ht="15" customHeight="1" x14ac:dyDescent="0.25"/>
    <row r="7220" ht="15" customHeight="1" x14ac:dyDescent="0.25"/>
    <row r="7221" ht="15" customHeight="1" x14ac:dyDescent="0.25"/>
    <row r="7222" ht="15" customHeight="1" x14ac:dyDescent="0.25"/>
    <row r="7223" ht="15" customHeight="1" x14ac:dyDescent="0.25"/>
    <row r="7224" ht="15" customHeight="1" x14ac:dyDescent="0.25"/>
    <row r="7225" ht="15" customHeight="1" x14ac:dyDescent="0.25"/>
    <row r="7226" ht="15" customHeight="1" x14ac:dyDescent="0.25"/>
    <row r="7227" ht="15" customHeight="1" x14ac:dyDescent="0.25"/>
    <row r="7228" ht="15" customHeight="1" x14ac:dyDescent="0.25"/>
    <row r="7229" ht="15" customHeight="1" x14ac:dyDescent="0.25"/>
    <row r="7230" ht="15" customHeight="1" x14ac:dyDescent="0.25"/>
    <row r="7231" ht="15" customHeight="1" x14ac:dyDescent="0.25"/>
    <row r="7232" ht="15" customHeight="1" x14ac:dyDescent="0.25"/>
    <row r="7233" ht="15" customHeight="1" x14ac:dyDescent="0.25"/>
    <row r="7234" ht="15" customHeight="1" x14ac:dyDescent="0.25"/>
    <row r="7235" ht="15" customHeight="1" x14ac:dyDescent="0.25"/>
    <row r="7236" ht="15" customHeight="1" x14ac:dyDescent="0.25"/>
    <row r="7237" ht="15" customHeight="1" x14ac:dyDescent="0.25"/>
    <row r="7238" ht="15" customHeight="1" x14ac:dyDescent="0.25"/>
    <row r="7239" ht="15" customHeight="1" x14ac:dyDescent="0.25"/>
    <row r="7240" ht="15" customHeight="1" x14ac:dyDescent="0.25"/>
    <row r="7241" ht="15" customHeight="1" x14ac:dyDescent="0.25"/>
    <row r="7242" ht="15" customHeight="1" x14ac:dyDescent="0.25"/>
    <row r="7243" ht="15" customHeight="1" x14ac:dyDescent="0.25"/>
    <row r="7244" ht="15" customHeight="1" x14ac:dyDescent="0.25"/>
    <row r="7245" ht="15" customHeight="1" x14ac:dyDescent="0.25"/>
    <row r="7246" ht="15" customHeight="1" x14ac:dyDescent="0.25"/>
    <row r="7247" ht="15" customHeight="1" x14ac:dyDescent="0.25"/>
    <row r="7248" ht="15" customHeight="1" x14ac:dyDescent="0.25"/>
    <row r="7249" ht="15" customHeight="1" x14ac:dyDescent="0.25"/>
    <row r="7250" ht="15" customHeight="1" x14ac:dyDescent="0.25"/>
    <row r="7251" ht="15" customHeight="1" x14ac:dyDescent="0.25"/>
    <row r="7252" ht="15" customHeight="1" x14ac:dyDescent="0.25"/>
    <row r="7253" ht="15" customHeight="1" x14ac:dyDescent="0.25"/>
    <row r="7254" ht="15" customHeight="1" x14ac:dyDescent="0.25"/>
    <row r="7255" ht="15" customHeight="1" x14ac:dyDescent="0.25"/>
    <row r="7256" ht="15" customHeight="1" x14ac:dyDescent="0.25"/>
    <row r="7257" ht="15" customHeight="1" x14ac:dyDescent="0.25"/>
    <row r="7258" ht="15" customHeight="1" x14ac:dyDescent="0.25"/>
    <row r="7259" ht="15" customHeight="1" x14ac:dyDescent="0.25"/>
    <row r="7260" ht="15" customHeight="1" x14ac:dyDescent="0.25"/>
    <row r="7261" ht="15" customHeight="1" x14ac:dyDescent="0.25"/>
    <row r="7262" ht="15" customHeight="1" x14ac:dyDescent="0.25"/>
    <row r="7263" ht="15" customHeight="1" x14ac:dyDescent="0.25"/>
    <row r="7264" ht="15" customHeight="1" x14ac:dyDescent="0.25"/>
    <row r="7265" ht="15" customHeight="1" x14ac:dyDescent="0.25"/>
    <row r="7266" ht="15" customHeight="1" x14ac:dyDescent="0.25"/>
    <row r="7267" ht="15" customHeight="1" x14ac:dyDescent="0.25"/>
    <row r="7268" ht="15" customHeight="1" x14ac:dyDescent="0.25"/>
    <row r="7269" ht="15" customHeight="1" x14ac:dyDescent="0.25"/>
    <row r="7270" ht="15" customHeight="1" x14ac:dyDescent="0.25"/>
    <row r="7271" ht="15" customHeight="1" x14ac:dyDescent="0.25"/>
    <row r="7272" ht="15" customHeight="1" x14ac:dyDescent="0.25"/>
    <row r="7273" ht="15" customHeight="1" x14ac:dyDescent="0.25"/>
    <row r="7274" ht="15" customHeight="1" x14ac:dyDescent="0.25"/>
    <row r="7275" ht="15" customHeight="1" x14ac:dyDescent="0.25"/>
    <row r="7276" ht="15" customHeight="1" x14ac:dyDescent="0.25"/>
    <row r="7277" ht="15" customHeight="1" x14ac:dyDescent="0.25"/>
    <row r="7278" ht="15" customHeight="1" x14ac:dyDescent="0.25"/>
    <row r="7279" ht="15" customHeight="1" x14ac:dyDescent="0.25"/>
    <row r="7280" ht="15" customHeight="1" x14ac:dyDescent="0.25"/>
    <row r="7281" ht="15" customHeight="1" x14ac:dyDescent="0.25"/>
    <row r="7282" ht="15" customHeight="1" x14ac:dyDescent="0.25"/>
    <row r="7283" ht="15" customHeight="1" x14ac:dyDescent="0.25"/>
    <row r="7284" ht="15" customHeight="1" x14ac:dyDescent="0.25"/>
    <row r="7285" ht="15" customHeight="1" x14ac:dyDescent="0.25"/>
    <row r="7286" ht="15" customHeight="1" x14ac:dyDescent="0.25"/>
    <row r="7287" ht="15" customHeight="1" x14ac:dyDescent="0.25"/>
    <row r="7288" ht="15" customHeight="1" x14ac:dyDescent="0.25"/>
    <row r="7289" ht="15" customHeight="1" x14ac:dyDescent="0.25"/>
    <row r="7290" ht="15" customHeight="1" x14ac:dyDescent="0.25"/>
    <row r="7291" ht="15" customHeight="1" x14ac:dyDescent="0.25"/>
    <row r="7292" ht="15" customHeight="1" x14ac:dyDescent="0.25"/>
    <row r="7293" ht="15" customHeight="1" x14ac:dyDescent="0.25"/>
    <row r="7294" ht="15" customHeight="1" x14ac:dyDescent="0.25"/>
    <row r="7295" ht="15" customHeight="1" x14ac:dyDescent="0.25"/>
    <row r="7296" ht="15" customHeight="1" x14ac:dyDescent="0.25"/>
    <row r="7297" ht="15" customHeight="1" x14ac:dyDescent="0.25"/>
    <row r="7298" ht="15" customHeight="1" x14ac:dyDescent="0.25"/>
    <row r="7299" ht="15" customHeight="1" x14ac:dyDescent="0.25"/>
    <row r="7300" ht="15" customHeight="1" x14ac:dyDescent="0.25"/>
    <row r="7301" ht="15" customHeight="1" x14ac:dyDescent="0.25"/>
    <row r="7302" ht="15" customHeight="1" x14ac:dyDescent="0.25"/>
    <row r="7303" ht="15" customHeight="1" x14ac:dyDescent="0.25"/>
    <row r="7304" ht="15" customHeight="1" x14ac:dyDescent="0.25"/>
    <row r="7305" ht="15" customHeight="1" x14ac:dyDescent="0.25"/>
    <row r="7306" ht="15" customHeight="1" x14ac:dyDescent="0.25"/>
    <row r="7307" ht="15" customHeight="1" x14ac:dyDescent="0.25"/>
    <row r="7308" ht="15" customHeight="1" x14ac:dyDescent="0.25"/>
    <row r="7309" ht="15" customHeight="1" x14ac:dyDescent="0.25"/>
    <row r="7310" ht="15" customHeight="1" x14ac:dyDescent="0.25"/>
    <row r="7311" ht="15" customHeight="1" x14ac:dyDescent="0.25"/>
    <row r="7312" ht="15" customHeight="1" x14ac:dyDescent="0.25"/>
    <row r="7313" ht="15" customHeight="1" x14ac:dyDescent="0.25"/>
    <row r="7314" ht="15" customHeight="1" x14ac:dyDescent="0.25"/>
    <row r="7315" ht="15" customHeight="1" x14ac:dyDescent="0.25"/>
    <row r="7316" ht="15" customHeight="1" x14ac:dyDescent="0.25"/>
    <row r="7317" ht="15" customHeight="1" x14ac:dyDescent="0.25"/>
    <row r="7318" ht="15" customHeight="1" x14ac:dyDescent="0.25"/>
    <row r="7319" ht="15" customHeight="1" x14ac:dyDescent="0.25"/>
    <row r="7320" ht="15" customHeight="1" x14ac:dyDescent="0.25"/>
    <row r="7321" ht="15" customHeight="1" x14ac:dyDescent="0.25"/>
    <row r="7322" ht="15" customHeight="1" x14ac:dyDescent="0.25"/>
    <row r="7323" ht="15" customHeight="1" x14ac:dyDescent="0.25"/>
    <row r="7324" ht="15" customHeight="1" x14ac:dyDescent="0.25"/>
    <row r="7325" ht="15" customHeight="1" x14ac:dyDescent="0.25"/>
    <row r="7326" ht="15" customHeight="1" x14ac:dyDescent="0.25"/>
    <row r="7327" ht="15" customHeight="1" x14ac:dyDescent="0.25"/>
    <row r="7328" ht="15" customHeight="1" x14ac:dyDescent="0.25"/>
    <row r="7329" ht="15" customHeight="1" x14ac:dyDescent="0.25"/>
    <row r="7330" ht="15" customHeight="1" x14ac:dyDescent="0.25"/>
    <row r="7331" ht="15" customHeight="1" x14ac:dyDescent="0.25"/>
    <row r="7332" ht="15" customHeight="1" x14ac:dyDescent="0.25"/>
    <row r="7333" ht="15" customHeight="1" x14ac:dyDescent="0.25"/>
    <row r="7334" ht="15" customHeight="1" x14ac:dyDescent="0.25"/>
    <row r="7335" ht="15" customHeight="1" x14ac:dyDescent="0.25"/>
    <row r="7336" ht="15" customHeight="1" x14ac:dyDescent="0.25"/>
    <row r="7337" ht="15" customHeight="1" x14ac:dyDescent="0.25"/>
    <row r="7338" ht="15" customHeight="1" x14ac:dyDescent="0.25"/>
    <row r="7339" ht="15" customHeight="1" x14ac:dyDescent="0.25"/>
    <row r="7340" ht="15" customHeight="1" x14ac:dyDescent="0.25"/>
    <row r="7341" ht="15" customHeight="1" x14ac:dyDescent="0.25"/>
    <row r="7342" ht="15" customHeight="1" x14ac:dyDescent="0.25"/>
    <row r="7343" ht="15" customHeight="1" x14ac:dyDescent="0.25"/>
    <row r="7344" ht="15" customHeight="1" x14ac:dyDescent="0.25"/>
    <row r="7345" ht="15" customHeight="1" x14ac:dyDescent="0.25"/>
    <row r="7346" ht="15" customHeight="1" x14ac:dyDescent="0.25"/>
    <row r="7347" ht="15" customHeight="1" x14ac:dyDescent="0.25"/>
    <row r="7348" ht="15" customHeight="1" x14ac:dyDescent="0.25"/>
    <row r="7349" ht="15" customHeight="1" x14ac:dyDescent="0.25"/>
    <row r="7350" ht="15" customHeight="1" x14ac:dyDescent="0.25"/>
    <row r="7351" ht="15" customHeight="1" x14ac:dyDescent="0.25"/>
    <row r="7352" ht="15" customHeight="1" x14ac:dyDescent="0.25"/>
    <row r="7353" ht="15" customHeight="1" x14ac:dyDescent="0.25"/>
    <row r="7354" ht="15" customHeight="1" x14ac:dyDescent="0.25"/>
    <row r="7355" ht="15" customHeight="1" x14ac:dyDescent="0.25"/>
    <row r="7356" ht="15" customHeight="1" x14ac:dyDescent="0.25"/>
    <row r="7357" ht="15" customHeight="1" x14ac:dyDescent="0.25"/>
    <row r="7358" ht="15" customHeight="1" x14ac:dyDescent="0.25"/>
    <row r="7359" ht="15" customHeight="1" x14ac:dyDescent="0.25"/>
    <row r="7360" ht="15" customHeight="1" x14ac:dyDescent="0.25"/>
    <row r="7361" ht="15" customHeight="1" x14ac:dyDescent="0.25"/>
    <row r="7362" ht="15" customHeight="1" x14ac:dyDescent="0.25"/>
    <row r="7363" ht="15" customHeight="1" x14ac:dyDescent="0.25"/>
    <row r="7364" ht="15" customHeight="1" x14ac:dyDescent="0.25"/>
    <row r="7365" ht="15" customHeight="1" x14ac:dyDescent="0.25"/>
    <row r="7366" ht="15" customHeight="1" x14ac:dyDescent="0.25"/>
    <row r="7367" ht="15" customHeight="1" x14ac:dyDescent="0.25"/>
    <row r="7368" ht="15" customHeight="1" x14ac:dyDescent="0.25"/>
    <row r="7369" ht="15" customHeight="1" x14ac:dyDescent="0.25"/>
    <row r="7370" ht="15" customHeight="1" x14ac:dyDescent="0.25"/>
    <row r="7371" ht="15" customHeight="1" x14ac:dyDescent="0.25"/>
    <row r="7372" ht="15" customHeight="1" x14ac:dyDescent="0.25"/>
    <row r="7373" ht="15" customHeight="1" x14ac:dyDescent="0.25"/>
    <row r="7374" ht="15" customHeight="1" x14ac:dyDescent="0.25"/>
    <row r="7375" ht="15" customHeight="1" x14ac:dyDescent="0.25"/>
    <row r="7376" ht="15" customHeight="1" x14ac:dyDescent="0.25"/>
    <row r="7377" ht="15" customHeight="1" x14ac:dyDescent="0.25"/>
    <row r="7378" ht="15" customHeight="1" x14ac:dyDescent="0.25"/>
    <row r="7379" ht="15" customHeight="1" x14ac:dyDescent="0.25"/>
    <row r="7380" ht="15" customHeight="1" x14ac:dyDescent="0.25"/>
    <row r="7381" ht="15" customHeight="1" x14ac:dyDescent="0.25"/>
    <row r="7382" ht="15" customHeight="1" x14ac:dyDescent="0.25"/>
    <row r="7383" ht="15" customHeight="1" x14ac:dyDescent="0.25"/>
    <row r="7384" ht="15" customHeight="1" x14ac:dyDescent="0.25"/>
    <row r="7385" ht="15" customHeight="1" x14ac:dyDescent="0.25"/>
    <row r="7386" ht="15" customHeight="1" x14ac:dyDescent="0.25"/>
    <row r="7387" ht="15" customHeight="1" x14ac:dyDescent="0.25"/>
    <row r="7388" ht="15" customHeight="1" x14ac:dyDescent="0.25"/>
    <row r="7389" ht="15" customHeight="1" x14ac:dyDescent="0.25"/>
    <row r="7390" ht="15" customHeight="1" x14ac:dyDescent="0.25"/>
    <row r="7391" ht="15" customHeight="1" x14ac:dyDescent="0.25"/>
    <row r="7392" ht="15" customHeight="1" x14ac:dyDescent="0.25"/>
    <row r="7393" ht="15" customHeight="1" x14ac:dyDescent="0.25"/>
    <row r="7394" ht="15" customHeight="1" x14ac:dyDescent="0.25"/>
    <row r="7395" ht="15" customHeight="1" x14ac:dyDescent="0.25"/>
    <row r="7396" ht="15" customHeight="1" x14ac:dyDescent="0.25"/>
    <row r="7397" ht="15" customHeight="1" x14ac:dyDescent="0.25"/>
    <row r="7398" ht="15" customHeight="1" x14ac:dyDescent="0.25"/>
    <row r="7399" ht="15" customHeight="1" x14ac:dyDescent="0.25"/>
    <row r="7400" ht="15" customHeight="1" x14ac:dyDescent="0.25"/>
    <row r="7401" ht="15" customHeight="1" x14ac:dyDescent="0.25"/>
    <row r="7402" ht="15" customHeight="1" x14ac:dyDescent="0.25"/>
    <row r="7403" ht="15" customHeight="1" x14ac:dyDescent="0.25"/>
    <row r="7404" ht="15" customHeight="1" x14ac:dyDescent="0.25"/>
    <row r="7405" ht="15" customHeight="1" x14ac:dyDescent="0.25"/>
    <row r="7406" ht="15" customHeight="1" x14ac:dyDescent="0.25"/>
    <row r="7407" ht="15" customHeight="1" x14ac:dyDescent="0.25"/>
    <row r="7408" ht="15" customHeight="1" x14ac:dyDescent="0.25"/>
    <row r="7409" ht="15" customHeight="1" x14ac:dyDescent="0.25"/>
    <row r="7410" ht="15" customHeight="1" x14ac:dyDescent="0.25"/>
    <row r="7411" ht="15" customHeight="1" x14ac:dyDescent="0.25"/>
    <row r="7412" ht="15" customHeight="1" x14ac:dyDescent="0.25"/>
    <row r="7413" ht="15" customHeight="1" x14ac:dyDescent="0.25"/>
    <row r="7414" ht="15" customHeight="1" x14ac:dyDescent="0.25"/>
    <row r="7415" ht="15" customHeight="1" x14ac:dyDescent="0.25"/>
    <row r="7416" ht="15" customHeight="1" x14ac:dyDescent="0.25"/>
    <row r="7417" ht="15" customHeight="1" x14ac:dyDescent="0.25"/>
    <row r="7418" ht="15" customHeight="1" x14ac:dyDescent="0.25"/>
    <row r="7419" ht="15" customHeight="1" x14ac:dyDescent="0.25"/>
    <row r="7420" ht="15" customHeight="1" x14ac:dyDescent="0.25"/>
    <row r="7421" ht="15" customHeight="1" x14ac:dyDescent="0.25"/>
    <row r="7422" ht="15" customHeight="1" x14ac:dyDescent="0.25"/>
    <row r="7423" ht="15" customHeight="1" x14ac:dyDescent="0.25"/>
    <row r="7424" ht="15" customHeight="1" x14ac:dyDescent="0.25"/>
    <row r="7425" ht="15" customHeight="1" x14ac:dyDescent="0.25"/>
    <row r="7426" ht="15" customHeight="1" x14ac:dyDescent="0.25"/>
    <row r="7427" ht="15" customHeight="1" x14ac:dyDescent="0.25"/>
    <row r="7428" ht="15" customHeight="1" x14ac:dyDescent="0.25"/>
    <row r="7429" ht="15" customHeight="1" x14ac:dyDescent="0.25"/>
    <row r="7430" ht="15" customHeight="1" x14ac:dyDescent="0.25"/>
    <row r="7431" ht="15" customHeight="1" x14ac:dyDescent="0.25"/>
    <row r="7432" ht="15" customHeight="1" x14ac:dyDescent="0.25"/>
    <row r="7433" ht="15" customHeight="1" x14ac:dyDescent="0.25"/>
    <row r="7434" ht="15" customHeight="1" x14ac:dyDescent="0.25"/>
    <row r="7435" ht="15" customHeight="1" x14ac:dyDescent="0.25"/>
    <row r="7436" ht="15" customHeight="1" x14ac:dyDescent="0.25"/>
    <row r="7437" ht="15" customHeight="1" x14ac:dyDescent="0.25"/>
    <row r="7438" ht="15" customHeight="1" x14ac:dyDescent="0.25"/>
    <row r="7439" ht="15" customHeight="1" x14ac:dyDescent="0.25"/>
    <row r="7440" ht="15" customHeight="1" x14ac:dyDescent="0.25"/>
    <row r="7441" ht="15" customHeight="1" x14ac:dyDescent="0.25"/>
    <row r="7442" ht="15" customHeight="1" x14ac:dyDescent="0.25"/>
    <row r="7443" ht="15" customHeight="1" x14ac:dyDescent="0.25"/>
    <row r="7444" ht="15" customHeight="1" x14ac:dyDescent="0.25"/>
    <row r="7445" ht="15" customHeight="1" x14ac:dyDescent="0.25"/>
    <row r="7446" ht="15" customHeight="1" x14ac:dyDescent="0.25"/>
    <row r="7447" ht="15" customHeight="1" x14ac:dyDescent="0.25"/>
    <row r="7448" ht="15" customHeight="1" x14ac:dyDescent="0.25"/>
    <row r="7449" ht="15" customHeight="1" x14ac:dyDescent="0.25"/>
    <row r="7450" ht="15" customHeight="1" x14ac:dyDescent="0.25"/>
    <row r="7451" ht="15" customHeight="1" x14ac:dyDescent="0.25"/>
    <row r="7452" ht="15" customHeight="1" x14ac:dyDescent="0.25"/>
    <row r="7453" ht="15" customHeight="1" x14ac:dyDescent="0.25"/>
    <row r="7454" ht="15" customHeight="1" x14ac:dyDescent="0.25"/>
    <row r="7455" ht="15" customHeight="1" x14ac:dyDescent="0.25"/>
    <row r="7456" ht="15" customHeight="1" x14ac:dyDescent="0.25"/>
    <row r="7457" ht="15" customHeight="1" x14ac:dyDescent="0.25"/>
    <row r="7458" ht="15" customHeight="1" x14ac:dyDescent="0.25"/>
    <row r="7459" ht="15" customHeight="1" x14ac:dyDescent="0.25"/>
    <row r="7460" ht="15" customHeight="1" x14ac:dyDescent="0.25"/>
    <row r="7461" ht="15" customHeight="1" x14ac:dyDescent="0.25"/>
    <row r="7462" ht="15" customHeight="1" x14ac:dyDescent="0.25"/>
    <row r="7463" ht="15" customHeight="1" x14ac:dyDescent="0.25"/>
    <row r="7464" ht="15" customHeight="1" x14ac:dyDescent="0.25"/>
    <row r="7465" ht="15" customHeight="1" x14ac:dyDescent="0.25"/>
    <row r="7466" ht="15" customHeight="1" x14ac:dyDescent="0.25"/>
    <row r="7467" ht="15" customHeight="1" x14ac:dyDescent="0.25"/>
    <row r="7468" ht="15" customHeight="1" x14ac:dyDescent="0.25"/>
    <row r="7469" ht="15" customHeight="1" x14ac:dyDescent="0.25"/>
    <row r="7470" ht="15" customHeight="1" x14ac:dyDescent="0.25"/>
    <row r="7471" ht="15" customHeight="1" x14ac:dyDescent="0.25"/>
    <row r="7472" ht="15" customHeight="1" x14ac:dyDescent="0.25"/>
    <row r="7473" ht="15" customHeight="1" x14ac:dyDescent="0.25"/>
    <row r="7474" ht="15" customHeight="1" x14ac:dyDescent="0.25"/>
    <row r="7475" ht="15" customHeight="1" x14ac:dyDescent="0.25"/>
    <row r="7476" ht="15" customHeight="1" x14ac:dyDescent="0.25"/>
    <row r="7477" ht="15" customHeight="1" x14ac:dyDescent="0.25"/>
    <row r="7478" ht="15" customHeight="1" x14ac:dyDescent="0.25"/>
    <row r="7479" ht="15" customHeight="1" x14ac:dyDescent="0.25"/>
    <row r="7480" ht="15" customHeight="1" x14ac:dyDescent="0.25"/>
    <row r="7481" ht="15" customHeight="1" x14ac:dyDescent="0.25"/>
    <row r="7482" ht="15" customHeight="1" x14ac:dyDescent="0.25"/>
    <row r="7483" ht="15" customHeight="1" x14ac:dyDescent="0.25"/>
    <row r="7484" ht="15" customHeight="1" x14ac:dyDescent="0.25"/>
    <row r="7485" ht="15" customHeight="1" x14ac:dyDescent="0.25"/>
    <row r="7486" ht="15" customHeight="1" x14ac:dyDescent="0.25"/>
    <row r="7487" ht="15" customHeight="1" x14ac:dyDescent="0.25"/>
    <row r="7488" ht="15" customHeight="1" x14ac:dyDescent="0.25"/>
    <row r="7489" ht="15" customHeight="1" x14ac:dyDescent="0.25"/>
    <row r="7490" ht="15" customHeight="1" x14ac:dyDescent="0.25"/>
    <row r="7491" ht="15" customHeight="1" x14ac:dyDescent="0.25"/>
    <row r="7492" ht="15" customHeight="1" x14ac:dyDescent="0.25"/>
    <row r="7493" ht="15" customHeight="1" x14ac:dyDescent="0.25"/>
    <row r="7494" ht="15" customHeight="1" x14ac:dyDescent="0.25"/>
    <row r="7495" ht="15" customHeight="1" x14ac:dyDescent="0.25"/>
    <row r="7496" ht="15" customHeight="1" x14ac:dyDescent="0.25"/>
    <row r="7497" ht="15" customHeight="1" x14ac:dyDescent="0.25"/>
    <row r="7498" ht="15" customHeight="1" x14ac:dyDescent="0.25"/>
    <row r="7499" ht="15" customHeight="1" x14ac:dyDescent="0.25"/>
    <row r="7500" ht="15" customHeight="1" x14ac:dyDescent="0.25"/>
    <row r="7501" ht="15" customHeight="1" x14ac:dyDescent="0.25"/>
    <row r="7502" ht="15" customHeight="1" x14ac:dyDescent="0.25"/>
    <row r="7503" ht="15" customHeight="1" x14ac:dyDescent="0.25"/>
    <row r="7504" ht="15" customHeight="1" x14ac:dyDescent="0.25"/>
    <row r="7505" ht="15" customHeight="1" x14ac:dyDescent="0.25"/>
    <row r="7506" ht="15" customHeight="1" x14ac:dyDescent="0.25"/>
    <row r="7507" ht="15" customHeight="1" x14ac:dyDescent="0.25"/>
    <row r="7508" ht="15" customHeight="1" x14ac:dyDescent="0.25"/>
    <row r="7509" ht="15" customHeight="1" x14ac:dyDescent="0.25"/>
    <row r="7510" ht="15" customHeight="1" x14ac:dyDescent="0.25"/>
    <row r="7511" ht="15" customHeight="1" x14ac:dyDescent="0.25"/>
    <row r="7512" ht="15" customHeight="1" x14ac:dyDescent="0.25"/>
    <row r="7513" ht="15" customHeight="1" x14ac:dyDescent="0.25"/>
    <row r="7514" ht="15" customHeight="1" x14ac:dyDescent="0.25"/>
    <row r="7515" ht="15" customHeight="1" x14ac:dyDescent="0.25"/>
    <row r="7516" ht="15" customHeight="1" x14ac:dyDescent="0.25"/>
    <row r="7517" ht="15" customHeight="1" x14ac:dyDescent="0.25"/>
    <row r="7518" ht="15" customHeight="1" x14ac:dyDescent="0.25"/>
    <row r="7519" ht="15" customHeight="1" x14ac:dyDescent="0.25"/>
    <row r="7520" ht="15" customHeight="1" x14ac:dyDescent="0.25"/>
    <row r="7521" ht="15" customHeight="1" x14ac:dyDescent="0.25"/>
    <row r="7522" ht="15" customHeight="1" x14ac:dyDescent="0.25"/>
    <row r="7523" ht="15" customHeight="1" x14ac:dyDescent="0.25"/>
    <row r="7524" ht="15" customHeight="1" x14ac:dyDescent="0.25"/>
    <row r="7525" ht="15" customHeight="1" x14ac:dyDescent="0.25"/>
    <row r="7526" ht="15" customHeight="1" x14ac:dyDescent="0.25"/>
    <row r="7527" ht="15" customHeight="1" x14ac:dyDescent="0.25"/>
    <row r="7528" ht="15" customHeight="1" x14ac:dyDescent="0.25"/>
    <row r="7529" ht="15" customHeight="1" x14ac:dyDescent="0.25"/>
    <row r="7530" ht="15" customHeight="1" x14ac:dyDescent="0.25"/>
    <row r="7531" ht="15" customHeight="1" x14ac:dyDescent="0.25"/>
    <row r="7532" ht="15" customHeight="1" x14ac:dyDescent="0.25"/>
    <row r="7533" ht="15" customHeight="1" x14ac:dyDescent="0.25"/>
    <row r="7534" ht="15" customHeight="1" x14ac:dyDescent="0.25"/>
    <row r="7535" ht="15" customHeight="1" x14ac:dyDescent="0.25"/>
    <row r="7536" ht="15" customHeight="1" x14ac:dyDescent="0.25"/>
    <row r="7537" ht="15" customHeight="1" x14ac:dyDescent="0.25"/>
    <row r="7538" ht="15" customHeight="1" x14ac:dyDescent="0.25"/>
    <row r="7539" ht="15" customHeight="1" x14ac:dyDescent="0.25"/>
    <row r="7540" ht="15" customHeight="1" x14ac:dyDescent="0.25"/>
    <row r="7541" ht="15" customHeight="1" x14ac:dyDescent="0.25"/>
    <row r="7542" ht="15" customHeight="1" x14ac:dyDescent="0.25"/>
    <row r="7543" ht="15" customHeight="1" x14ac:dyDescent="0.25"/>
    <row r="7544" ht="15" customHeight="1" x14ac:dyDescent="0.25"/>
    <row r="7545" ht="15" customHeight="1" x14ac:dyDescent="0.25"/>
    <row r="7546" ht="15" customHeight="1" x14ac:dyDescent="0.25"/>
    <row r="7547" ht="15" customHeight="1" x14ac:dyDescent="0.25"/>
    <row r="7548" ht="15" customHeight="1" x14ac:dyDescent="0.25"/>
    <row r="7549" ht="15" customHeight="1" x14ac:dyDescent="0.25"/>
    <row r="7550" ht="15" customHeight="1" x14ac:dyDescent="0.25"/>
    <row r="7551" ht="15" customHeight="1" x14ac:dyDescent="0.25"/>
    <row r="7552" ht="15" customHeight="1" x14ac:dyDescent="0.25"/>
    <row r="7553" ht="15" customHeight="1" x14ac:dyDescent="0.25"/>
    <row r="7554" ht="15" customHeight="1" x14ac:dyDescent="0.25"/>
    <row r="7555" ht="15" customHeight="1" x14ac:dyDescent="0.25"/>
    <row r="7556" ht="15" customHeight="1" x14ac:dyDescent="0.25"/>
    <row r="7557" ht="15" customHeight="1" x14ac:dyDescent="0.25"/>
    <row r="7558" ht="15" customHeight="1" x14ac:dyDescent="0.25"/>
    <row r="7559" ht="15" customHeight="1" x14ac:dyDescent="0.25"/>
    <row r="7560" ht="15" customHeight="1" x14ac:dyDescent="0.25"/>
    <row r="7561" ht="15" customHeight="1" x14ac:dyDescent="0.25"/>
    <row r="7562" ht="15" customHeight="1" x14ac:dyDescent="0.25"/>
    <row r="7563" ht="15" customHeight="1" x14ac:dyDescent="0.25"/>
    <row r="7564" ht="15" customHeight="1" x14ac:dyDescent="0.25"/>
    <row r="7565" ht="15" customHeight="1" x14ac:dyDescent="0.25"/>
    <row r="7566" ht="15" customHeight="1" x14ac:dyDescent="0.25"/>
    <row r="7567" ht="15" customHeight="1" x14ac:dyDescent="0.25"/>
    <row r="7568" ht="15" customHeight="1" x14ac:dyDescent="0.25"/>
    <row r="7569" ht="15" customHeight="1" x14ac:dyDescent="0.25"/>
    <row r="7570" ht="15" customHeight="1" x14ac:dyDescent="0.25"/>
    <row r="7571" ht="15" customHeight="1" x14ac:dyDescent="0.25"/>
    <row r="7572" ht="15" customHeight="1" x14ac:dyDescent="0.25"/>
    <row r="7573" ht="15" customHeight="1" x14ac:dyDescent="0.25"/>
    <row r="7574" ht="15" customHeight="1" x14ac:dyDescent="0.25"/>
    <row r="7575" ht="15" customHeight="1" x14ac:dyDescent="0.25"/>
    <row r="7576" ht="15" customHeight="1" x14ac:dyDescent="0.25"/>
    <row r="7577" ht="15" customHeight="1" x14ac:dyDescent="0.25"/>
    <row r="7578" ht="15" customHeight="1" x14ac:dyDescent="0.25"/>
    <row r="7579" ht="15" customHeight="1" x14ac:dyDescent="0.25"/>
    <row r="7580" ht="15" customHeight="1" x14ac:dyDescent="0.25"/>
    <row r="7581" ht="15" customHeight="1" x14ac:dyDescent="0.25"/>
    <row r="7582" ht="15" customHeight="1" x14ac:dyDescent="0.25"/>
    <row r="7583" ht="15" customHeight="1" x14ac:dyDescent="0.25"/>
    <row r="7584" ht="15" customHeight="1" x14ac:dyDescent="0.25"/>
    <row r="7585" ht="15" customHeight="1" x14ac:dyDescent="0.25"/>
    <row r="7586" ht="15" customHeight="1" x14ac:dyDescent="0.25"/>
    <row r="7587" ht="15" customHeight="1" x14ac:dyDescent="0.25"/>
    <row r="7588" ht="15" customHeight="1" x14ac:dyDescent="0.25"/>
    <row r="7589" ht="15" customHeight="1" x14ac:dyDescent="0.25"/>
    <row r="7590" ht="15" customHeight="1" x14ac:dyDescent="0.25"/>
    <row r="7591" ht="15" customHeight="1" x14ac:dyDescent="0.25"/>
    <row r="7592" ht="15" customHeight="1" x14ac:dyDescent="0.25"/>
    <row r="7593" ht="15" customHeight="1" x14ac:dyDescent="0.25"/>
    <row r="7594" ht="15" customHeight="1" x14ac:dyDescent="0.25"/>
    <row r="7595" ht="15" customHeight="1" x14ac:dyDescent="0.25"/>
    <row r="7596" ht="15" customHeight="1" x14ac:dyDescent="0.25"/>
    <row r="7597" ht="15" customHeight="1" x14ac:dyDescent="0.25"/>
    <row r="7598" ht="15" customHeight="1" x14ac:dyDescent="0.25"/>
    <row r="7599" ht="15" customHeight="1" x14ac:dyDescent="0.25"/>
    <row r="7600" ht="15" customHeight="1" x14ac:dyDescent="0.25"/>
    <row r="7601" ht="15" customHeight="1" x14ac:dyDescent="0.25"/>
    <row r="7602" ht="15" customHeight="1" x14ac:dyDescent="0.25"/>
    <row r="7603" ht="15" customHeight="1" x14ac:dyDescent="0.25"/>
    <row r="7604" ht="15" customHeight="1" x14ac:dyDescent="0.25"/>
    <row r="7605" ht="15" customHeight="1" x14ac:dyDescent="0.25"/>
    <row r="7606" ht="15" customHeight="1" x14ac:dyDescent="0.25"/>
    <row r="7607" ht="15" customHeight="1" x14ac:dyDescent="0.25"/>
    <row r="7608" ht="15" customHeight="1" x14ac:dyDescent="0.25"/>
    <row r="7609" ht="15" customHeight="1" x14ac:dyDescent="0.25"/>
    <row r="7610" ht="15" customHeight="1" x14ac:dyDescent="0.25"/>
    <row r="7611" ht="15" customHeight="1" x14ac:dyDescent="0.25"/>
    <row r="7612" ht="15" customHeight="1" x14ac:dyDescent="0.25"/>
    <row r="7613" ht="15" customHeight="1" x14ac:dyDescent="0.25"/>
    <row r="7614" ht="15" customHeight="1" x14ac:dyDescent="0.25"/>
    <row r="7615" ht="15" customHeight="1" x14ac:dyDescent="0.25"/>
    <row r="7616" ht="15" customHeight="1" x14ac:dyDescent="0.25"/>
    <row r="7617" ht="15" customHeight="1" x14ac:dyDescent="0.25"/>
    <row r="7618" ht="15" customHeight="1" x14ac:dyDescent="0.25"/>
    <row r="7619" ht="15" customHeight="1" x14ac:dyDescent="0.25"/>
    <row r="7620" ht="15" customHeight="1" x14ac:dyDescent="0.25"/>
    <row r="7621" ht="15" customHeight="1" x14ac:dyDescent="0.25"/>
    <row r="7622" ht="15" customHeight="1" x14ac:dyDescent="0.25"/>
    <row r="7623" ht="15" customHeight="1" x14ac:dyDescent="0.25"/>
    <row r="7624" ht="15" customHeight="1" x14ac:dyDescent="0.25"/>
    <row r="7625" ht="15" customHeight="1" x14ac:dyDescent="0.25"/>
    <row r="7626" ht="15" customHeight="1" x14ac:dyDescent="0.25"/>
    <row r="7627" ht="15" customHeight="1" x14ac:dyDescent="0.25"/>
    <row r="7628" ht="15" customHeight="1" x14ac:dyDescent="0.25"/>
    <row r="7629" ht="15" customHeight="1" x14ac:dyDescent="0.25"/>
    <row r="7630" ht="15" customHeight="1" x14ac:dyDescent="0.25"/>
    <row r="7631" ht="15" customHeight="1" x14ac:dyDescent="0.25"/>
    <row r="7632" ht="15" customHeight="1" x14ac:dyDescent="0.25"/>
    <row r="7633" ht="15" customHeight="1" x14ac:dyDescent="0.25"/>
    <row r="7634" ht="15" customHeight="1" x14ac:dyDescent="0.25"/>
    <row r="7635" ht="15" customHeight="1" x14ac:dyDescent="0.25"/>
    <row r="7636" ht="15" customHeight="1" x14ac:dyDescent="0.25"/>
    <row r="7637" ht="15" customHeight="1" x14ac:dyDescent="0.25"/>
    <row r="7638" ht="15" customHeight="1" x14ac:dyDescent="0.25"/>
    <row r="7639" ht="15" customHeight="1" x14ac:dyDescent="0.25"/>
    <row r="7640" ht="15" customHeight="1" x14ac:dyDescent="0.25"/>
    <row r="7641" ht="15" customHeight="1" x14ac:dyDescent="0.25"/>
    <row r="7642" ht="15" customHeight="1" x14ac:dyDescent="0.25"/>
    <row r="7643" ht="15" customHeight="1" x14ac:dyDescent="0.25"/>
    <row r="7644" ht="15" customHeight="1" x14ac:dyDescent="0.25"/>
    <row r="7645" ht="15" customHeight="1" x14ac:dyDescent="0.25"/>
    <row r="7646" ht="15" customHeight="1" x14ac:dyDescent="0.25"/>
    <row r="7647" ht="15" customHeight="1" x14ac:dyDescent="0.25"/>
    <row r="7648" ht="15" customHeight="1" x14ac:dyDescent="0.25"/>
    <row r="7649" ht="15" customHeight="1" x14ac:dyDescent="0.25"/>
    <row r="7650" ht="15" customHeight="1" x14ac:dyDescent="0.25"/>
    <row r="7651" ht="15" customHeight="1" x14ac:dyDescent="0.25"/>
    <row r="7652" ht="15" customHeight="1" x14ac:dyDescent="0.25"/>
    <row r="7653" ht="15" customHeight="1" x14ac:dyDescent="0.25"/>
    <row r="7654" ht="15" customHeight="1" x14ac:dyDescent="0.25"/>
    <row r="7655" ht="15" customHeight="1" x14ac:dyDescent="0.25"/>
    <row r="7656" ht="15" customHeight="1" x14ac:dyDescent="0.25"/>
    <row r="7657" ht="15" customHeight="1" x14ac:dyDescent="0.25"/>
    <row r="7658" ht="15" customHeight="1" x14ac:dyDescent="0.25"/>
    <row r="7659" ht="15" customHeight="1" x14ac:dyDescent="0.25"/>
    <row r="7660" ht="15" customHeight="1" x14ac:dyDescent="0.25"/>
    <row r="7661" ht="15" customHeight="1" x14ac:dyDescent="0.25"/>
    <row r="7662" ht="15" customHeight="1" x14ac:dyDescent="0.25"/>
    <row r="7663" ht="15" customHeight="1" x14ac:dyDescent="0.25"/>
    <row r="7664" ht="15" customHeight="1" x14ac:dyDescent="0.25"/>
    <row r="7665" ht="15" customHeight="1" x14ac:dyDescent="0.25"/>
    <row r="7666" ht="15" customHeight="1" x14ac:dyDescent="0.25"/>
    <row r="7667" ht="15" customHeight="1" x14ac:dyDescent="0.25"/>
    <row r="7668" ht="15" customHeight="1" x14ac:dyDescent="0.25"/>
    <row r="7669" ht="15" customHeight="1" x14ac:dyDescent="0.25"/>
    <row r="7670" ht="15" customHeight="1" x14ac:dyDescent="0.25"/>
    <row r="7671" ht="15" customHeight="1" x14ac:dyDescent="0.25"/>
    <row r="7672" ht="15" customHeight="1" x14ac:dyDescent="0.25"/>
    <row r="7673" ht="15" customHeight="1" x14ac:dyDescent="0.25"/>
    <row r="7674" ht="15" customHeight="1" x14ac:dyDescent="0.25"/>
    <row r="7675" ht="15" customHeight="1" x14ac:dyDescent="0.25"/>
    <row r="7676" ht="15" customHeight="1" x14ac:dyDescent="0.25"/>
    <row r="7677" ht="15" customHeight="1" x14ac:dyDescent="0.25"/>
    <row r="7678" ht="15" customHeight="1" x14ac:dyDescent="0.25"/>
    <row r="7679" ht="15" customHeight="1" x14ac:dyDescent="0.25"/>
    <row r="7680" ht="15" customHeight="1" x14ac:dyDescent="0.25"/>
    <row r="7681" ht="15" customHeight="1" x14ac:dyDescent="0.25"/>
    <row r="7682" ht="15" customHeight="1" x14ac:dyDescent="0.25"/>
    <row r="7683" ht="15" customHeight="1" x14ac:dyDescent="0.25"/>
    <row r="7684" ht="15" customHeight="1" x14ac:dyDescent="0.25"/>
    <row r="7685" ht="15" customHeight="1" x14ac:dyDescent="0.25"/>
    <row r="7686" ht="15" customHeight="1" x14ac:dyDescent="0.25"/>
    <row r="7687" ht="15" customHeight="1" x14ac:dyDescent="0.25"/>
    <row r="7688" ht="15" customHeight="1" x14ac:dyDescent="0.25"/>
    <row r="7689" ht="15" customHeight="1" x14ac:dyDescent="0.25"/>
    <row r="7690" ht="15" customHeight="1" x14ac:dyDescent="0.25"/>
    <row r="7691" ht="15" customHeight="1" x14ac:dyDescent="0.25"/>
    <row r="7692" ht="15" customHeight="1" x14ac:dyDescent="0.25"/>
    <row r="7693" ht="15" customHeight="1" x14ac:dyDescent="0.25"/>
    <row r="7694" ht="15" customHeight="1" x14ac:dyDescent="0.25"/>
    <row r="7695" ht="15" customHeight="1" x14ac:dyDescent="0.25"/>
    <row r="7696" ht="15" customHeight="1" x14ac:dyDescent="0.25"/>
    <row r="7697" ht="15" customHeight="1" x14ac:dyDescent="0.25"/>
    <row r="7698" ht="15" customHeight="1" x14ac:dyDescent="0.25"/>
    <row r="7699" ht="15" customHeight="1" x14ac:dyDescent="0.25"/>
    <row r="7700" ht="15" customHeight="1" x14ac:dyDescent="0.25"/>
    <row r="7701" ht="15" customHeight="1" x14ac:dyDescent="0.25"/>
    <row r="7702" ht="15" customHeight="1" x14ac:dyDescent="0.25"/>
    <row r="7703" ht="15" customHeight="1" x14ac:dyDescent="0.25"/>
    <row r="7704" ht="15" customHeight="1" x14ac:dyDescent="0.25"/>
    <row r="7705" ht="15" customHeight="1" x14ac:dyDescent="0.25"/>
    <row r="7706" ht="15" customHeight="1" x14ac:dyDescent="0.25"/>
    <row r="7707" ht="15" customHeight="1" x14ac:dyDescent="0.25"/>
    <row r="7708" ht="15" customHeight="1" x14ac:dyDescent="0.25"/>
    <row r="7709" ht="15" customHeight="1" x14ac:dyDescent="0.25"/>
    <row r="7710" ht="15" customHeight="1" x14ac:dyDescent="0.25"/>
    <row r="7711" ht="15" customHeight="1" x14ac:dyDescent="0.25"/>
    <row r="7712" ht="15" customHeight="1" x14ac:dyDescent="0.25"/>
    <row r="7713" ht="15" customHeight="1" x14ac:dyDescent="0.25"/>
    <row r="7714" ht="15" customHeight="1" x14ac:dyDescent="0.25"/>
    <row r="7715" ht="15" customHeight="1" x14ac:dyDescent="0.25"/>
    <row r="7716" ht="15" customHeight="1" x14ac:dyDescent="0.25"/>
    <row r="7717" ht="15" customHeight="1" x14ac:dyDescent="0.25"/>
    <row r="7718" ht="15" customHeight="1" x14ac:dyDescent="0.25"/>
    <row r="7719" ht="15" customHeight="1" x14ac:dyDescent="0.25"/>
    <row r="7720" ht="15" customHeight="1" x14ac:dyDescent="0.25"/>
    <row r="7721" ht="15" customHeight="1" x14ac:dyDescent="0.25"/>
    <row r="7722" ht="15" customHeight="1" x14ac:dyDescent="0.25"/>
    <row r="7723" ht="15" customHeight="1" x14ac:dyDescent="0.25"/>
    <row r="7724" ht="15" customHeight="1" x14ac:dyDescent="0.25"/>
    <row r="7725" ht="15" customHeight="1" x14ac:dyDescent="0.25"/>
    <row r="7726" ht="15" customHeight="1" x14ac:dyDescent="0.25"/>
    <row r="7727" ht="15" customHeight="1" x14ac:dyDescent="0.25"/>
    <row r="7728" ht="15" customHeight="1" x14ac:dyDescent="0.25"/>
    <row r="7729" ht="15" customHeight="1" x14ac:dyDescent="0.25"/>
    <row r="7730" ht="15" customHeight="1" x14ac:dyDescent="0.25"/>
    <row r="7731" ht="15" customHeight="1" x14ac:dyDescent="0.25"/>
    <row r="7732" ht="15" customHeight="1" x14ac:dyDescent="0.25"/>
    <row r="7733" ht="15" customHeight="1" x14ac:dyDescent="0.25"/>
    <row r="7734" ht="15" customHeight="1" x14ac:dyDescent="0.25"/>
    <row r="7735" ht="15" customHeight="1" x14ac:dyDescent="0.25"/>
    <row r="7736" ht="15" customHeight="1" x14ac:dyDescent="0.25"/>
    <row r="7737" ht="15" customHeight="1" x14ac:dyDescent="0.25"/>
    <row r="7738" ht="15" customHeight="1" x14ac:dyDescent="0.25"/>
    <row r="7739" ht="15" customHeight="1" x14ac:dyDescent="0.25"/>
    <row r="7740" ht="15" customHeight="1" x14ac:dyDescent="0.25"/>
    <row r="7741" ht="15" customHeight="1" x14ac:dyDescent="0.25"/>
    <row r="7742" ht="15" customHeight="1" x14ac:dyDescent="0.25"/>
    <row r="7743" ht="15" customHeight="1" x14ac:dyDescent="0.25"/>
    <row r="7744" ht="15" customHeight="1" x14ac:dyDescent="0.25"/>
    <row r="7745" ht="15" customHeight="1" x14ac:dyDescent="0.25"/>
    <row r="7746" ht="15" customHeight="1" x14ac:dyDescent="0.25"/>
    <row r="7747" ht="15" customHeight="1" x14ac:dyDescent="0.25"/>
    <row r="7748" ht="15" customHeight="1" x14ac:dyDescent="0.25"/>
    <row r="7749" ht="15" customHeight="1" x14ac:dyDescent="0.25"/>
    <row r="7750" ht="15" customHeight="1" x14ac:dyDescent="0.25"/>
    <row r="7751" ht="15" customHeight="1" x14ac:dyDescent="0.25"/>
    <row r="7752" ht="15" customHeight="1" x14ac:dyDescent="0.25"/>
    <row r="7753" ht="15" customHeight="1" x14ac:dyDescent="0.25"/>
    <row r="7754" ht="15" customHeight="1" x14ac:dyDescent="0.25"/>
    <row r="7755" ht="15" customHeight="1" x14ac:dyDescent="0.25"/>
    <row r="7756" ht="15" customHeight="1" x14ac:dyDescent="0.25"/>
    <row r="7757" ht="15" customHeight="1" x14ac:dyDescent="0.25"/>
    <row r="7758" ht="15" customHeight="1" x14ac:dyDescent="0.25"/>
    <row r="7759" ht="15" customHeight="1" x14ac:dyDescent="0.25"/>
    <row r="7760" ht="15" customHeight="1" x14ac:dyDescent="0.25"/>
    <row r="7761" ht="15" customHeight="1" x14ac:dyDescent="0.25"/>
    <row r="7762" ht="15" customHeight="1" x14ac:dyDescent="0.25"/>
    <row r="7763" ht="15" customHeight="1" x14ac:dyDescent="0.25"/>
    <row r="7764" ht="15" customHeight="1" x14ac:dyDescent="0.25"/>
    <row r="7765" ht="15" customHeight="1" x14ac:dyDescent="0.25"/>
    <row r="7766" ht="15" customHeight="1" x14ac:dyDescent="0.25"/>
    <row r="7767" ht="15" customHeight="1" x14ac:dyDescent="0.25"/>
    <row r="7768" ht="15" customHeight="1" x14ac:dyDescent="0.25"/>
    <row r="7769" ht="15" customHeight="1" x14ac:dyDescent="0.25"/>
    <row r="7770" ht="15" customHeight="1" x14ac:dyDescent="0.25"/>
    <row r="7771" ht="15" customHeight="1" x14ac:dyDescent="0.25"/>
    <row r="7772" ht="15" customHeight="1" x14ac:dyDescent="0.25"/>
    <row r="7773" ht="15" customHeight="1" x14ac:dyDescent="0.25"/>
    <row r="7774" ht="15" customHeight="1" x14ac:dyDescent="0.25"/>
    <row r="7775" ht="15" customHeight="1" x14ac:dyDescent="0.25"/>
    <row r="7776" ht="15" customHeight="1" x14ac:dyDescent="0.25"/>
    <row r="7777" ht="15" customHeight="1" x14ac:dyDescent="0.25"/>
    <row r="7778" ht="15" customHeight="1" x14ac:dyDescent="0.25"/>
    <row r="7779" ht="15" customHeight="1" x14ac:dyDescent="0.25"/>
    <row r="7780" ht="15" customHeight="1" x14ac:dyDescent="0.25"/>
    <row r="7781" ht="15" customHeight="1" x14ac:dyDescent="0.25"/>
    <row r="7782" ht="15" customHeight="1" x14ac:dyDescent="0.25"/>
    <row r="7783" ht="15" customHeight="1" x14ac:dyDescent="0.25"/>
    <row r="7784" ht="15" customHeight="1" x14ac:dyDescent="0.25"/>
    <row r="7785" ht="15" customHeight="1" x14ac:dyDescent="0.25"/>
    <row r="7786" ht="15" customHeight="1" x14ac:dyDescent="0.25"/>
    <row r="7787" ht="15" customHeight="1" x14ac:dyDescent="0.25"/>
    <row r="7788" ht="15" customHeight="1" x14ac:dyDescent="0.25"/>
    <row r="7789" ht="15" customHeight="1" x14ac:dyDescent="0.25"/>
    <row r="7790" ht="15" customHeight="1" x14ac:dyDescent="0.25"/>
    <row r="7791" ht="15" customHeight="1" x14ac:dyDescent="0.25"/>
    <row r="7792" ht="15" customHeight="1" x14ac:dyDescent="0.25"/>
    <row r="7793" ht="15" customHeight="1" x14ac:dyDescent="0.25"/>
    <row r="7794" ht="15" customHeight="1" x14ac:dyDescent="0.25"/>
    <row r="7795" ht="15" customHeight="1" x14ac:dyDescent="0.25"/>
    <row r="7796" ht="15" customHeight="1" x14ac:dyDescent="0.25"/>
    <row r="7797" ht="15" customHeight="1" x14ac:dyDescent="0.25"/>
    <row r="7798" ht="15" customHeight="1" x14ac:dyDescent="0.25"/>
    <row r="7799" ht="15" customHeight="1" x14ac:dyDescent="0.25"/>
    <row r="7800" ht="15" customHeight="1" x14ac:dyDescent="0.25"/>
    <row r="7801" ht="15" customHeight="1" x14ac:dyDescent="0.25"/>
    <row r="7802" ht="15" customHeight="1" x14ac:dyDescent="0.25"/>
    <row r="7803" ht="15" customHeight="1" x14ac:dyDescent="0.25"/>
    <row r="7804" ht="15" customHeight="1" x14ac:dyDescent="0.25"/>
    <row r="7805" ht="15" customHeight="1" x14ac:dyDescent="0.25"/>
    <row r="7806" ht="15" customHeight="1" x14ac:dyDescent="0.25"/>
    <row r="7807" ht="15" customHeight="1" x14ac:dyDescent="0.25"/>
    <row r="7808" ht="15" customHeight="1" x14ac:dyDescent="0.25"/>
    <row r="7809" ht="15" customHeight="1" x14ac:dyDescent="0.25"/>
    <row r="7810" ht="15" customHeight="1" x14ac:dyDescent="0.25"/>
    <row r="7811" ht="15" customHeight="1" x14ac:dyDescent="0.25"/>
    <row r="7812" ht="15" customHeight="1" x14ac:dyDescent="0.25"/>
    <row r="7813" ht="15" customHeight="1" x14ac:dyDescent="0.25"/>
    <row r="7814" ht="15" customHeight="1" x14ac:dyDescent="0.25"/>
    <row r="7815" ht="15" customHeight="1" x14ac:dyDescent="0.25"/>
    <row r="7816" ht="15" customHeight="1" x14ac:dyDescent="0.25"/>
    <row r="7817" ht="15" customHeight="1" x14ac:dyDescent="0.25"/>
    <row r="7818" ht="15" customHeight="1" x14ac:dyDescent="0.25"/>
    <row r="7819" ht="15" customHeight="1" x14ac:dyDescent="0.25"/>
    <row r="7820" ht="15" customHeight="1" x14ac:dyDescent="0.25"/>
    <row r="7821" ht="15" customHeight="1" x14ac:dyDescent="0.25"/>
    <row r="7822" ht="15" customHeight="1" x14ac:dyDescent="0.25"/>
    <row r="7823" ht="15" customHeight="1" x14ac:dyDescent="0.25"/>
    <row r="7824" ht="15" customHeight="1" x14ac:dyDescent="0.25"/>
    <row r="7825" ht="15" customHeight="1" x14ac:dyDescent="0.25"/>
    <row r="7826" ht="15" customHeight="1" x14ac:dyDescent="0.25"/>
    <row r="7827" ht="15" customHeight="1" x14ac:dyDescent="0.25"/>
    <row r="7828" ht="15" customHeight="1" x14ac:dyDescent="0.25"/>
    <row r="7829" ht="15" customHeight="1" x14ac:dyDescent="0.25"/>
    <row r="7830" ht="15" customHeight="1" x14ac:dyDescent="0.25"/>
    <row r="7831" ht="15" customHeight="1" x14ac:dyDescent="0.25"/>
    <row r="7832" ht="15" customHeight="1" x14ac:dyDescent="0.25"/>
    <row r="7833" ht="15" customHeight="1" x14ac:dyDescent="0.25"/>
    <row r="7834" ht="15" customHeight="1" x14ac:dyDescent="0.25"/>
    <row r="7835" ht="15" customHeight="1" x14ac:dyDescent="0.25"/>
    <row r="7836" ht="15" customHeight="1" x14ac:dyDescent="0.25"/>
    <row r="7837" ht="15" customHeight="1" x14ac:dyDescent="0.25"/>
    <row r="7838" ht="15" customHeight="1" x14ac:dyDescent="0.25"/>
    <row r="7839" ht="15" customHeight="1" x14ac:dyDescent="0.25"/>
    <row r="7840" ht="15" customHeight="1" x14ac:dyDescent="0.25"/>
    <row r="7841" ht="15" customHeight="1" x14ac:dyDescent="0.25"/>
    <row r="7842" ht="15" customHeight="1" x14ac:dyDescent="0.25"/>
    <row r="7843" ht="15" customHeight="1" x14ac:dyDescent="0.25"/>
    <row r="7844" ht="15" customHeight="1" x14ac:dyDescent="0.25"/>
    <row r="7845" ht="15" customHeight="1" x14ac:dyDescent="0.25"/>
    <row r="7846" ht="15" customHeight="1" x14ac:dyDescent="0.25"/>
    <row r="7847" ht="15" customHeight="1" x14ac:dyDescent="0.25"/>
    <row r="7848" ht="15" customHeight="1" x14ac:dyDescent="0.25"/>
    <row r="7849" ht="15" customHeight="1" x14ac:dyDescent="0.25"/>
    <row r="7850" ht="15" customHeight="1" x14ac:dyDescent="0.25"/>
    <row r="7851" ht="15" customHeight="1" x14ac:dyDescent="0.25"/>
    <row r="7852" ht="15" customHeight="1" x14ac:dyDescent="0.25"/>
    <row r="7853" ht="15" customHeight="1" x14ac:dyDescent="0.25"/>
    <row r="7854" ht="15" customHeight="1" x14ac:dyDescent="0.25"/>
    <row r="7855" ht="15" customHeight="1" x14ac:dyDescent="0.25"/>
    <row r="7856" ht="15" customHeight="1" x14ac:dyDescent="0.25"/>
    <row r="7857" ht="15" customHeight="1" x14ac:dyDescent="0.25"/>
    <row r="7858" ht="15" customHeight="1" x14ac:dyDescent="0.25"/>
    <row r="7859" ht="15" customHeight="1" x14ac:dyDescent="0.25"/>
    <row r="7860" ht="15" customHeight="1" x14ac:dyDescent="0.25"/>
    <row r="7861" ht="15" customHeight="1" x14ac:dyDescent="0.25"/>
    <row r="7862" ht="15" customHeight="1" x14ac:dyDescent="0.25"/>
    <row r="7863" ht="15" customHeight="1" x14ac:dyDescent="0.25"/>
    <row r="7864" ht="15" customHeight="1" x14ac:dyDescent="0.25"/>
    <row r="7865" ht="15" customHeight="1" x14ac:dyDescent="0.25"/>
    <row r="7866" ht="15" customHeight="1" x14ac:dyDescent="0.25"/>
    <row r="7867" ht="15" customHeight="1" x14ac:dyDescent="0.25"/>
    <row r="7868" ht="15" customHeight="1" x14ac:dyDescent="0.25"/>
    <row r="7869" ht="15" customHeight="1" x14ac:dyDescent="0.25"/>
    <row r="7870" ht="15" customHeight="1" x14ac:dyDescent="0.25"/>
    <row r="7871" ht="15" customHeight="1" x14ac:dyDescent="0.25"/>
    <row r="7872" ht="15" customHeight="1" x14ac:dyDescent="0.25"/>
    <row r="7873" ht="15" customHeight="1" x14ac:dyDescent="0.25"/>
    <row r="7874" ht="15" customHeight="1" x14ac:dyDescent="0.25"/>
    <row r="7875" ht="15" customHeight="1" x14ac:dyDescent="0.25"/>
    <row r="7876" ht="15" customHeight="1" x14ac:dyDescent="0.25"/>
    <row r="7877" ht="15" customHeight="1" x14ac:dyDescent="0.25"/>
    <row r="7878" ht="15" customHeight="1" x14ac:dyDescent="0.25"/>
    <row r="7879" ht="15" customHeight="1" x14ac:dyDescent="0.25"/>
    <row r="7880" ht="15" customHeight="1" x14ac:dyDescent="0.25"/>
    <row r="7881" ht="15" customHeight="1" x14ac:dyDescent="0.25"/>
    <row r="7882" ht="15" customHeight="1" x14ac:dyDescent="0.25"/>
    <row r="7883" ht="15" customHeight="1" x14ac:dyDescent="0.25"/>
    <row r="7884" ht="15" customHeight="1" x14ac:dyDescent="0.25"/>
    <row r="7885" ht="15" customHeight="1" x14ac:dyDescent="0.25"/>
    <row r="7886" ht="15" customHeight="1" x14ac:dyDescent="0.25"/>
    <row r="7887" ht="15" customHeight="1" x14ac:dyDescent="0.25"/>
    <row r="7888" ht="15" customHeight="1" x14ac:dyDescent="0.25"/>
    <row r="7889" ht="15" customHeight="1" x14ac:dyDescent="0.25"/>
    <row r="7890" ht="15" customHeight="1" x14ac:dyDescent="0.25"/>
    <row r="7891" ht="15" customHeight="1" x14ac:dyDescent="0.25"/>
    <row r="7892" ht="15" customHeight="1" x14ac:dyDescent="0.25"/>
    <row r="7893" ht="15" customHeight="1" x14ac:dyDescent="0.25"/>
    <row r="7894" ht="15" customHeight="1" x14ac:dyDescent="0.25"/>
    <row r="7895" ht="15" customHeight="1" x14ac:dyDescent="0.25"/>
    <row r="7896" ht="15" customHeight="1" x14ac:dyDescent="0.25"/>
    <row r="7897" ht="15" customHeight="1" x14ac:dyDescent="0.25"/>
    <row r="7898" ht="15" customHeight="1" x14ac:dyDescent="0.25"/>
    <row r="7899" ht="15" customHeight="1" x14ac:dyDescent="0.25"/>
    <row r="7900" ht="15" customHeight="1" x14ac:dyDescent="0.25"/>
    <row r="7901" ht="15" customHeight="1" x14ac:dyDescent="0.25"/>
    <row r="7902" ht="15" customHeight="1" x14ac:dyDescent="0.25"/>
    <row r="7903" ht="15" customHeight="1" x14ac:dyDescent="0.25"/>
    <row r="7904" ht="15" customHeight="1" x14ac:dyDescent="0.25"/>
    <row r="7905" ht="15" customHeight="1" x14ac:dyDescent="0.25"/>
    <row r="7906" ht="15" customHeight="1" x14ac:dyDescent="0.25"/>
    <row r="7907" ht="15" customHeight="1" x14ac:dyDescent="0.25"/>
    <row r="7908" ht="15" customHeight="1" x14ac:dyDescent="0.25"/>
    <row r="7909" ht="15" customHeight="1" x14ac:dyDescent="0.25"/>
    <row r="7910" ht="15" customHeight="1" x14ac:dyDescent="0.25"/>
    <row r="7911" ht="15" customHeight="1" x14ac:dyDescent="0.25"/>
    <row r="7912" ht="15" customHeight="1" x14ac:dyDescent="0.25"/>
    <row r="7913" ht="15" customHeight="1" x14ac:dyDescent="0.25"/>
    <row r="7914" ht="15" customHeight="1" x14ac:dyDescent="0.25"/>
    <row r="7915" ht="15" customHeight="1" x14ac:dyDescent="0.25"/>
    <row r="7916" ht="15" customHeight="1" x14ac:dyDescent="0.25"/>
    <row r="7917" ht="15" customHeight="1" x14ac:dyDescent="0.25"/>
    <row r="7918" ht="15" customHeight="1" x14ac:dyDescent="0.25"/>
    <row r="7919" ht="15" customHeight="1" x14ac:dyDescent="0.25"/>
    <row r="7920" ht="15" customHeight="1" x14ac:dyDescent="0.25"/>
    <row r="7921" ht="15" customHeight="1" x14ac:dyDescent="0.25"/>
    <row r="7922" ht="15" customHeight="1" x14ac:dyDescent="0.25"/>
    <row r="7923" ht="15" customHeight="1" x14ac:dyDescent="0.25"/>
    <row r="7924" ht="15" customHeight="1" x14ac:dyDescent="0.25"/>
    <row r="7925" ht="15" customHeight="1" x14ac:dyDescent="0.25"/>
    <row r="7926" ht="15" customHeight="1" x14ac:dyDescent="0.25"/>
    <row r="7927" ht="15" customHeight="1" x14ac:dyDescent="0.25"/>
    <row r="7928" ht="15" customHeight="1" x14ac:dyDescent="0.25"/>
    <row r="7929" ht="15" customHeight="1" x14ac:dyDescent="0.25"/>
    <row r="7930" ht="15" customHeight="1" x14ac:dyDescent="0.25"/>
    <row r="7931" ht="15" customHeight="1" x14ac:dyDescent="0.25"/>
    <row r="7932" ht="15" customHeight="1" x14ac:dyDescent="0.25"/>
    <row r="7933" ht="15" customHeight="1" x14ac:dyDescent="0.25"/>
    <row r="7934" ht="15" customHeight="1" x14ac:dyDescent="0.25"/>
    <row r="7935" ht="15" customHeight="1" x14ac:dyDescent="0.25"/>
    <row r="7936" ht="15" customHeight="1" x14ac:dyDescent="0.25"/>
    <row r="7937" ht="15" customHeight="1" x14ac:dyDescent="0.25"/>
    <row r="7938" ht="15" customHeight="1" x14ac:dyDescent="0.25"/>
    <row r="7939" ht="15" customHeight="1" x14ac:dyDescent="0.25"/>
    <row r="7940" ht="15" customHeight="1" x14ac:dyDescent="0.25"/>
    <row r="7941" ht="15" customHeight="1" x14ac:dyDescent="0.25"/>
    <row r="7942" ht="15" customHeight="1" x14ac:dyDescent="0.25"/>
    <row r="7943" ht="15" customHeight="1" x14ac:dyDescent="0.25"/>
    <row r="7944" ht="15" customHeight="1" x14ac:dyDescent="0.25"/>
    <row r="7945" ht="15" customHeight="1" x14ac:dyDescent="0.25"/>
    <row r="7946" ht="15" customHeight="1" x14ac:dyDescent="0.25"/>
    <row r="7947" ht="15" customHeight="1" x14ac:dyDescent="0.25"/>
    <row r="7948" ht="15" customHeight="1" x14ac:dyDescent="0.25"/>
    <row r="7949" ht="15" customHeight="1" x14ac:dyDescent="0.25"/>
    <row r="7950" ht="15" customHeight="1" x14ac:dyDescent="0.25"/>
    <row r="7951" ht="15" customHeight="1" x14ac:dyDescent="0.25"/>
    <row r="7952" ht="15" customHeight="1" x14ac:dyDescent="0.25"/>
    <row r="7953" ht="15" customHeight="1" x14ac:dyDescent="0.25"/>
    <row r="7954" ht="15" customHeight="1" x14ac:dyDescent="0.25"/>
    <row r="7955" ht="15" customHeight="1" x14ac:dyDescent="0.25"/>
    <row r="7956" ht="15" customHeight="1" x14ac:dyDescent="0.25"/>
    <row r="7957" ht="15" customHeight="1" x14ac:dyDescent="0.25"/>
    <row r="7958" ht="15" customHeight="1" x14ac:dyDescent="0.25"/>
    <row r="7959" ht="15" customHeight="1" x14ac:dyDescent="0.25"/>
    <row r="7960" ht="15" customHeight="1" x14ac:dyDescent="0.25"/>
    <row r="7961" ht="15" customHeight="1" x14ac:dyDescent="0.25"/>
    <row r="7962" ht="15" customHeight="1" x14ac:dyDescent="0.25"/>
    <row r="7963" ht="15" customHeight="1" x14ac:dyDescent="0.25"/>
    <row r="7964" ht="15" customHeight="1" x14ac:dyDescent="0.25"/>
    <row r="7965" ht="15" customHeight="1" x14ac:dyDescent="0.25"/>
    <row r="7966" ht="15" customHeight="1" x14ac:dyDescent="0.25"/>
    <row r="7967" ht="15" customHeight="1" x14ac:dyDescent="0.25"/>
    <row r="7968" ht="15" customHeight="1" x14ac:dyDescent="0.25"/>
    <row r="7969" ht="15" customHeight="1" x14ac:dyDescent="0.25"/>
    <row r="7970" ht="15" customHeight="1" x14ac:dyDescent="0.25"/>
    <row r="7971" ht="15" customHeight="1" x14ac:dyDescent="0.25"/>
    <row r="7972" ht="15" customHeight="1" x14ac:dyDescent="0.25"/>
    <row r="7973" ht="15" customHeight="1" x14ac:dyDescent="0.25"/>
    <row r="7974" ht="15" customHeight="1" x14ac:dyDescent="0.25"/>
    <row r="7975" ht="15" customHeight="1" x14ac:dyDescent="0.25"/>
    <row r="7976" ht="15" customHeight="1" x14ac:dyDescent="0.25"/>
    <row r="7977" ht="15" customHeight="1" x14ac:dyDescent="0.25"/>
    <row r="7978" ht="15" customHeight="1" x14ac:dyDescent="0.25"/>
    <row r="7979" ht="15" customHeight="1" x14ac:dyDescent="0.25"/>
    <row r="7980" ht="15" customHeight="1" x14ac:dyDescent="0.25"/>
    <row r="7981" ht="15" customHeight="1" x14ac:dyDescent="0.25"/>
    <row r="7982" ht="15" customHeight="1" x14ac:dyDescent="0.25"/>
    <row r="7983" ht="15" customHeight="1" x14ac:dyDescent="0.25"/>
    <row r="7984" ht="15" customHeight="1" x14ac:dyDescent="0.25"/>
    <row r="7985" ht="15" customHeight="1" x14ac:dyDescent="0.25"/>
    <row r="7986" ht="15" customHeight="1" x14ac:dyDescent="0.25"/>
    <row r="7987" ht="15" customHeight="1" x14ac:dyDescent="0.25"/>
    <row r="7988" ht="15" customHeight="1" x14ac:dyDescent="0.25"/>
    <row r="7989" ht="15" customHeight="1" x14ac:dyDescent="0.25"/>
    <row r="7990" ht="15" customHeight="1" x14ac:dyDescent="0.25"/>
    <row r="7991" ht="15" customHeight="1" x14ac:dyDescent="0.25"/>
    <row r="7992" ht="15" customHeight="1" x14ac:dyDescent="0.25"/>
    <row r="7993" ht="15" customHeight="1" x14ac:dyDescent="0.25"/>
    <row r="7994" ht="15" customHeight="1" x14ac:dyDescent="0.25"/>
    <row r="7995" ht="15" customHeight="1" x14ac:dyDescent="0.25"/>
    <row r="7996" ht="15" customHeight="1" x14ac:dyDescent="0.25"/>
    <row r="7997" ht="15" customHeight="1" x14ac:dyDescent="0.25"/>
    <row r="7998" ht="15" customHeight="1" x14ac:dyDescent="0.25"/>
    <row r="7999" ht="15" customHeight="1" x14ac:dyDescent="0.25"/>
    <row r="8000" ht="15" customHeight="1" x14ac:dyDescent="0.25"/>
    <row r="8001" ht="15" customHeight="1" x14ac:dyDescent="0.25"/>
    <row r="8002" ht="15" customHeight="1" x14ac:dyDescent="0.25"/>
    <row r="8003" ht="15" customHeight="1" x14ac:dyDescent="0.25"/>
    <row r="8004" ht="15" customHeight="1" x14ac:dyDescent="0.25"/>
    <row r="8005" ht="15" customHeight="1" x14ac:dyDescent="0.25"/>
    <row r="8006" ht="15" customHeight="1" x14ac:dyDescent="0.25"/>
    <row r="8007" ht="15" customHeight="1" x14ac:dyDescent="0.25"/>
    <row r="8008" ht="15" customHeight="1" x14ac:dyDescent="0.25"/>
    <row r="8009" ht="15" customHeight="1" x14ac:dyDescent="0.25"/>
    <row r="8010" ht="15" customHeight="1" x14ac:dyDescent="0.25"/>
    <row r="8011" ht="15" customHeight="1" x14ac:dyDescent="0.25"/>
    <row r="8012" ht="15" customHeight="1" x14ac:dyDescent="0.25"/>
    <row r="8013" ht="15" customHeight="1" x14ac:dyDescent="0.25"/>
    <row r="8014" ht="15" customHeight="1" x14ac:dyDescent="0.25"/>
    <row r="8015" ht="15" customHeight="1" x14ac:dyDescent="0.25"/>
    <row r="8016" ht="15" customHeight="1" x14ac:dyDescent="0.25"/>
    <row r="8017" ht="15" customHeight="1" x14ac:dyDescent="0.25"/>
    <row r="8018" ht="15" customHeight="1" x14ac:dyDescent="0.25"/>
    <row r="8019" ht="15" customHeight="1" x14ac:dyDescent="0.25"/>
    <row r="8020" ht="15" customHeight="1" x14ac:dyDescent="0.25"/>
    <row r="8021" ht="15" customHeight="1" x14ac:dyDescent="0.25"/>
    <row r="8022" ht="15" customHeight="1" x14ac:dyDescent="0.25"/>
    <row r="8023" ht="15" customHeight="1" x14ac:dyDescent="0.25"/>
    <row r="8024" ht="15" customHeight="1" x14ac:dyDescent="0.25"/>
    <row r="8025" ht="15" customHeight="1" x14ac:dyDescent="0.25"/>
    <row r="8026" ht="15" customHeight="1" x14ac:dyDescent="0.25"/>
    <row r="8027" ht="15" customHeight="1" x14ac:dyDescent="0.25"/>
    <row r="8028" ht="15" customHeight="1" x14ac:dyDescent="0.25"/>
    <row r="8029" ht="15" customHeight="1" x14ac:dyDescent="0.25"/>
    <row r="8030" ht="15" customHeight="1" x14ac:dyDescent="0.25"/>
    <row r="8031" ht="15" customHeight="1" x14ac:dyDescent="0.25"/>
    <row r="8032" ht="15" customHeight="1" x14ac:dyDescent="0.25"/>
    <row r="8033" ht="15" customHeight="1" x14ac:dyDescent="0.25"/>
    <row r="8034" ht="15" customHeight="1" x14ac:dyDescent="0.25"/>
    <row r="8035" ht="15" customHeight="1" x14ac:dyDescent="0.25"/>
    <row r="8036" ht="15" customHeight="1" x14ac:dyDescent="0.25"/>
    <row r="8037" ht="15" customHeight="1" x14ac:dyDescent="0.25"/>
    <row r="8038" ht="15" customHeight="1" x14ac:dyDescent="0.25"/>
    <row r="8039" ht="15" customHeight="1" x14ac:dyDescent="0.25"/>
    <row r="8040" ht="15" customHeight="1" x14ac:dyDescent="0.25"/>
    <row r="8041" ht="15" customHeight="1" x14ac:dyDescent="0.25"/>
    <row r="8042" ht="15" customHeight="1" x14ac:dyDescent="0.25"/>
    <row r="8043" ht="15" customHeight="1" x14ac:dyDescent="0.25"/>
    <row r="8044" ht="15" customHeight="1" x14ac:dyDescent="0.25"/>
    <row r="8045" ht="15" customHeight="1" x14ac:dyDescent="0.25"/>
    <row r="8046" ht="15" customHeight="1" x14ac:dyDescent="0.25"/>
    <row r="8047" ht="15" customHeight="1" x14ac:dyDescent="0.25"/>
    <row r="8048" ht="15" customHeight="1" x14ac:dyDescent="0.25"/>
    <row r="8049" ht="15" customHeight="1" x14ac:dyDescent="0.25"/>
    <row r="8050" ht="15" customHeight="1" x14ac:dyDescent="0.25"/>
    <row r="8051" ht="15" customHeight="1" x14ac:dyDescent="0.25"/>
    <row r="8052" ht="15" customHeight="1" x14ac:dyDescent="0.25"/>
    <row r="8053" ht="15" customHeight="1" x14ac:dyDescent="0.25"/>
    <row r="8054" ht="15" customHeight="1" x14ac:dyDescent="0.25"/>
    <row r="8055" ht="15" customHeight="1" x14ac:dyDescent="0.25"/>
    <row r="8056" ht="15" customHeight="1" x14ac:dyDescent="0.25"/>
    <row r="8057" ht="15" customHeight="1" x14ac:dyDescent="0.25"/>
    <row r="8058" ht="15" customHeight="1" x14ac:dyDescent="0.25"/>
    <row r="8059" ht="15" customHeight="1" x14ac:dyDescent="0.25"/>
    <row r="8060" ht="15" customHeight="1" x14ac:dyDescent="0.25"/>
    <row r="8061" ht="15" customHeight="1" x14ac:dyDescent="0.25"/>
    <row r="8062" ht="15" customHeight="1" x14ac:dyDescent="0.25"/>
    <row r="8063" ht="15" customHeight="1" x14ac:dyDescent="0.25"/>
    <row r="8064" ht="15" customHeight="1" x14ac:dyDescent="0.25"/>
    <row r="8065" ht="15" customHeight="1" x14ac:dyDescent="0.25"/>
    <row r="8066" ht="15" customHeight="1" x14ac:dyDescent="0.25"/>
    <row r="8067" ht="15" customHeight="1" x14ac:dyDescent="0.25"/>
    <row r="8068" ht="15" customHeight="1" x14ac:dyDescent="0.25"/>
    <row r="8069" ht="15" customHeight="1" x14ac:dyDescent="0.25"/>
    <row r="8070" ht="15" customHeight="1" x14ac:dyDescent="0.25"/>
    <row r="8071" ht="15" customHeight="1" x14ac:dyDescent="0.25"/>
    <row r="8072" ht="15" customHeight="1" x14ac:dyDescent="0.25"/>
    <row r="8073" ht="15" customHeight="1" x14ac:dyDescent="0.25"/>
    <row r="8074" ht="15" customHeight="1" x14ac:dyDescent="0.25"/>
    <row r="8075" ht="15" customHeight="1" x14ac:dyDescent="0.25"/>
    <row r="8076" ht="15" customHeight="1" x14ac:dyDescent="0.25"/>
    <row r="8077" ht="15" customHeight="1" x14ac:dyDescent="0.25"/>
    <row r="8078" ht="15" customHeight="1" x14ac:dyDescent="0.25"/>
    <row r="8079" ht="15" customHeight="1" x14ac:dyDescent="0.25"/>
    <row r="8080" ht="15" customHeight="1" x14ac:dyDescent="0.25"/>
    <row r="8081" ht="15" customHeight="1" x14ac:dyDescent="0.25"/>
    <row r="8082" ht="15" customHeight="1" x14ac:dyDescent="0.25"/>
    <row r="8083" ht="15" customHeight="1" x14ac:dyDescent="0.25"/>
    <row r="8084" ht="15" customHeight="1" x14ac:dyDescent="0.25"/>
    <row r="8085" ht="15" customHeight="1" x14ac:dyDescent="0.25"/>
    <row r="8086" ht="15" customHeight="1" x14ac:dyDescent="0.25"/>
    <row r="8087" ht="15" customHeight="1" x14ac:dyDescent="0.25"/>
    <row r="8088" ht="15" customHeight="1" x14ac:dyDescent="0.25"/>
    <row r="8089" ht="15" customHeight="1" x14ac:dyDescent="0.25"/>
    <row r="8090" ht="15" customHeight="1" x14ac:dyDescent="0.25"/>
    <row r="8091" ht="15" customHeight="1" x14ac:dyDescent="0.25"/>
    <row r="8092" ht="15" customHeight="1" x14ac:dyDescent="0.25"/>
    <row r="8093" ht="15" customHeight="1" x14ac:dyDescent="0.25"/>
    <row r="8094" ht="15" customHeight="1" x14ac:dyDescent="0.25"/>
    <row r="8095" ht="15" customHeight="1" x14ac:dyDescent="0.25"/>
    <row r="8096" ht="15" customHeight="1" x14ac:dyDescent="0.25"/>
    <row r="8097" ht="15" customHeight="1" x14ac:dyDescent="0.25"/>
    <row r="8098" ht="15" customHeight="1" x14ac:dyDescent="0.25"/>
    <row r="8099" ht="15" customHeight="1" x14ac:dyDescent="0.25"/>
    <row r="8100" ht="15" customHeight="1" x14ac:dyDescent="0.25"/>
    <row r="8101" ht="15" customHeight="1" x14ac:dyDescent="0.25"/>
    <row r="8102" ht="15" customHeight="1" x14ac:dyDescent="0.25"/>
    <row r="8103" ht="15" customHeight="1" x14ac:dyDescent="0.25"/>
    <row r="8104" ht="15" customHeight="1" x14ac:dyDescent="0.25"/>
    <row r="8105" ht="15" customHeight="1" x14ac:dyDescent="0.25"/>
    <row r="8106" ht="15" customHeight="1" x14ac:dyDescent="0.25"/>
    <row r="8107" ht="15" customHeight="1" x14ac:dyDescent="0.25"/>
    <row r="8108" ht="15" customHeight="1" x14ac:dyDescent="0.25"/>
    <row r="8109" ht="15" customHeight="1" x14ac:dyDescent="0.25"/>
    <row r="8110" ht="15" customHeight="1" x14ac:dyDescent="0.25"/>
    <row r="8111" ht="15" customHeight="1" x14ac:dyDescent="0.25"/>
    <row r="8112" ht="15" customHeight="1" x14ac:dyDescent="0.25"/>
    <row r="8113" ht="15" customHeight="1" x14ac:dyDescent="0.25"/>
    <row r="8114" ht="15" customHeight="1" x14ac:dyDescent="0.25"/>
    <row r="8115" ht="15" customHeight="1" x14ac:dyDescent="0.25"/>
    <row r="8116" ht="15" customHeight="1" x14ac:dyDescent="0.25"/>
    <row r="8117" ht="15" customHeight="1" x14ac:dyDescent="0.25"/>
    <row r="8118" ht="15" customHeight="1" x14ac:dyDescent="0.25"/>
    <row r="8119" ht="15" customHeight="1" x14ac:dyDescent="0.25"/>
    <row r="8120" ht="15" customHeight="1" x14ac:dyDescent="0.25"/>
    <row r="8121" ht="15" customHeight="1" x14ac:dyDescent="0.25"/>
    <row r="8122" ht="15" customHeight="1" x14ac:dyDescent="0.25"/>
    <row r="8123" ht="15" customHeight="1" x14ac:dyDescent="0.25"/>
    <row r="8124" ht="15" customHeight="1" x14ac:dyDescent="0.25"/>
    <row r="8125" ht="15" customHeight="1" x14ac:dyDescent="0.25"/>
    <row r="8126" ht="15" customHeight="1" x14ac:dyDescent="0.25"/>
    <row r="8127" ht="15" customHeight="1" x14ac:dyDescent="0.25"/>
    <row r="8128" ht="15" customHeight="1" x14ac:dyDescent="0.25"/>
    <row r="8129" ht="15" customHeight="1" x14ac:dyDescent="0.25"/>
    <row r="8130" ht="15" customHeight="1" x14ac:dyDescent="0.25"/>
    <row r="8131" ht="15" customHeight="1" x14ac:dyDescent="0.25"/>
    <row r="8132" ht="15" customHeight="1" x14ac:dyDescent="0.25"/>
    <row r="8133" ht="15" customHeight="1" x14ac:dyDescent="0.25"/>
    <row r="8134" ht="15" customHeight="1" x14ac:dyDescent="0.25"/>
    <row r="8135" ht="15" customHeight="1" x14ac:dyDescent="0.25"/>
    <row r="8136" ht="15" customHeight="1" x14ac:dyDescent="0.25"/>
    <row r="8137" ht="15" customHeight="1" x14ac:dyDescent="0.25"/>
    <row r="8138" ht="15" customHeight="1" x14ac:dyDescent="0.25"/>
    <row r="8139" ht="15" customHeight="1" x14ac:dyDescent="0.25"/>
    <row r="8140" ht="15" customHeight="1" x14ac:dyDescent="0.25"/>
    <row r="8141" ht="15" customHeight="1" x14ac:dyDescent="0.25"/>
    <row r="8142" ht="15" customHeight="1" x14ac:dyDescent="0.25"/>
    <row r="8143" ht="15" customHeight="1" x14ac:dyDescent="0.25"/>
    <row r="8144" ht="15" customHeight="1" x14ac:dyDescent="0.25"/>
    <row r="8145" ht="15" customHeight="1" x14ac:dyDescent="0.25"/>
    <row r="8146" ht="15" customHeight="1" x14ac:dyDescent="0.25"/>
    <row r="8147" ht="15" customHeight="1" x14ac:dyDescent="0.25"/>
    <row r="8148" ht="15" customHeight="1" x14ac:dyDescent="0.25"/>
    <row r="8149" ht="15" customHeight="1" x14ac:dyDescent="0.25"/>
    <row r="8150" ht="15" customHeight="1" x14ac:dyDescent="0.25"/>
    <row r="8151" ht="15" customHeight="1" x14ac:dyDescent="0.25"/>
    <row r="8152" ht="15" customHeight="1" x14ac:dyDescent="0.25"/>
    <row r="8153" ht="15" customHeight="1" x14ac:dyDescent="0.25"/>
    <row r="8154" ht="15" customHeight="1" x14ac:dyDescent="0.25"/>
    <row r="8155" ht="15" customHeight="1" x14ac:dyDescent="0.25"/>
    <row r="8156" ht="15" customHeight="1" x14ac:dyDescent="0.25"/>
    <row r="8157" ht="15" customHeight="1" x14ac:dyDescent="0.25"/>
    <row r="8158" ht="15" customHeight="1" x14ac:dyDescent="0.25"/>
    <row r="8159" ht="15" customHeight="1" x14ac:dyDescent="0.25"/>
    <row r="8160" ht="15" customHeight="1" x14ac:dyDescent="0.25"/>
    <row r="8161" ht="15" customHeight="1" x14ac:dyDescent="0.25"/>
    <row r="8162" ht="15" customHeight="1" x14ac:dyDescent="0.25"/>
    <row r="8163" ht="15" customHeight="1" x14ac:dyDescent="0.25"/>
    <row r="8164" ht="15" customHeight="1" x14ac:dyDescent="0.25"/>
    <row r="8165" ht="15" customHeight="1" x14ac:dyDescent="0.25"/>
    <row r="8166" ht="15" customHeight="1" x14ac:dyDescent="0.25"/>
    <row r="8167" ht="15" customHeight="1" x14ac:dyDescent="0.25"/>
    <row r="8168" ht="15" customHeight="1" x14ac:dyDescent="0.25"/>
    <row r="8169" ht="15" customHeight="1" x14ac:dyDescent="0.25"/>
    <row r="8170" ht="15" customHeight="1" x14ac:dyDescent="0.25"/>
    <row r="8171" ht="15" customHeight="1" x14ac:dyDescent="0.25"/>
    <row r="8172" ht="15" customHeight="1" x14ac:dyDescent="0.25"/>
    <row r="8173" ht="15" customHeight="1" x14ac:dyDescent="0.25"/>
    <row r="8174" ht="15" customHeight="1" x14ac:dyDescent="0.25"/>
    <row r="8175" ht="15" customHeight="1" x14ac:dyDescent="0.25"/>
    <row r="8176" ht="15" customHeight="1" x14ac:dyDescent="0.25"/>
    <row r="8177" ht="15" customHeight="1" x14ac:dyDescent="0.25"/>
    <row r="8178" ht="15" customHeight="1" x14ac:dyDescent="0.25"/>
    <row r="8179" ht="15" customHeight="1" x14ac:dyDescent="0.25"/>
    <row r="8180" ht="15" customHeight="1" x14ac:dyDescent="0.25"/>
    <row r="8181" ht="15" customHeight="1" x14ac:dyDescent="0.25"/>
    <row r="8182" ht="15" customHeight="1" x14ac:dyDescent="0.25"/>
    <row r="8183" ht="15" customHeight="1" x14ac:dyDescent="0.25"/>
    <row r="8184" ht="15" customHeight="1" x14ac:dyDescent="0.25"/>
    <row r="8185" ht="15" customHeight="1" x14ac:dyDescent="0.25"/>
    <row r="8186" ht="15" customHeight="1" x14ac:dyDescent="0.25"/>
    <row r="8187" ht="15" customHeight="1" x14ac:dyDescent="0.25"/>
    <row r="8188" ht="15" customHeight="1" x14ac:dyDescent="0.25"/>
    <row r="8189" ht="15" customHeight="1" x14ac:dyDescent="0.25"/>
    <row r="8190" ht="15" customHeight="1" x14ac:dyDescent="0.25"/>
    <row r="8191" ht="15" customHeight="1" x14ac:dyDescent="0.25"/>
    <row r="8192" ht="15" customHeight="1" x14ac:dyDescent="0.25"/>
    <row r="8193" ht="15" customHeight="1" x14ac:dyDescent="0.25"/>
    <row r="8194" ht="15" customHeight="1" x14ac:dyDescent="0.25"/>
    <row r="8195" ht="15" customHeight="1" x14ac:dyDescent="0.25"/>
    <row r="8196" ht="15" customHeight="1" x14ac:dyDescent="0.25"/>
    <row r="8197" ht="15" customHeight="1" x14ac:dyDescent="0.25"/>
    <row r="8198" ht="15" customHeight="1" x14ac:dyDescent="0.25"/>
    <row r="8199" ht="15" customHeight="1" x14ac:dyDescent="0.25"/>
    <row r="8200" ht="15" customHeight="1" x14ac:dyDescent="0.25"/>
    <row r="8201" ht="15" customHeight="1" x14ac:dyDescent="0.25"/>
    <row r="8202" ht="15" customHeight="1" x14ac:dyDescent="0.25"/>
    <row r="8203" ht="15" customHeight="1" x14ac:dyDescent="0.25"/>
    <row r="8204" ht="15" customHeight="1" x14ac:dyDescent="0.25"/>
    <row r="8205" ht="15" customHeight="1" x14ac:dyDescent="0.25"/>
    <row r="8206" ht="15" customHeight="1" x14ac:dyDescent="0.25"/>
    <row r="8207" ht="15" customHeight="1" x14ac:dyDescent="0.25"/>
    <row r="8208" ht="15" customHeight="1" x14ac:dyDescent="0.25"/>
    <row r="8209" ht="15" customHeight="1" x14ac:dyDescent="0.25"/>
    <row r="8210" ht="15" customHeight="1" x14ac:dyDescent="0.25"/>
    <row r="8211" ht="15" customHeight="1" x14ac:dyDescent="0.25"/>
    <row r="8212" ht="15" customHeight="1" x14ac:dyDescent="0.25"/>
    <row r="8213" ht="15" customHeight="1" x14ac:dyDescent="0.25"/>
    <row r="8214" ht="15" customHeight="1" x14ac:dyDescent="0.25"/>
    <row r="8215" ht="15" customHeight="1" x14ac:dyDescent="0.25"/>
    <row r="8216" ht="15" customHeight="1" x14ac:dyDescent="0.25"/>
    <row r="8217" ht="15" customHeight="1" x14ac:dyDescent="0.25"/>
    <row r="8218" ht="15" customHeight="1" x14ac:dyDescent="0.25"/>
    <row r="8219" ht="15" customHeight="1" x14ac:dyDescent="0.25"/>
    <row r="8220" ht="15" customHeight="1" x14ac:dyDescent="0.25"/>
    <row r="8221" ht="15" customHeight="1" x14ac:dyDescent="0.25"/>
    <row r="8222" ht="15" customHeight="1" x14ac:dyDescent="0.25"/>
    <row r="8223" ht="15" customHeight="1" x14ac:dyDescent="0.25"/>
    <row r="8224" ht="15" customHeight="1" x14ac:dyDescent="0.25"/>
    <row r="8225" ht="15" customHeight="1" x14ac:dyDescent="0.25"/>
    <row r="8226" ht="15" customHeight="1" x14ac:dyDescent="0.25"/>
    <row r="8227" ht="15" customHeight="1" x14ac:dyDescent="0.25"/>
    <row r="8228" ht="15" customHeight="1" x14ac:dyDescent="0.25"/>
    <row r="8229" ht="15" customHeight="1" x14ac:dyDescent="0.25"/>
    <row r="8230" ht="15" customHeight="1" x14ac:dyDescent="0.25"/>
    <row r="8231" ht="15" customHeight="1" x14ac:dyDescent="0.25"/>
    <row r="8232" ht="15" customHeight="1" x14ac:dyDescent="0.25"/>
    <row r="8233" ht="15" customHeight="1" x14ac:dyDescent="0.25"/>
    <row r="8234" ht="15" customHeight="1" x14ac:dyDescent="0.25"/>
    <row r="8235" ht="15" customHeight="1" x14ac:dyDescent="0.25"/>
    <row r="8236" ht="15" customHeight="1" x14ac:dyDescent="0.25"/>
    <row r="8237" ht="15" customHeight="1" x14ac:dyDescent="0.25"/>
    <row r="8238" ht="15" customHeight="1" x14ac:dyDescent="0.25"/>
    <row r="8239" ht="15" customHeight="1" x14ac:dyDescent="0.25"/>
    <row r="8240" ht="15" customHeight="1" x14ac:dyDescent="0.25"/>
    <row r="8241" ht="15" customHeight="1" x14ac:dyDescent="0.25"/>
    <row r="8242" ht="15" customHeight="1" x14ac:dyDescent="0.25"/>
    <row r="8243" ht="15" customHeight="1" x14ac:dyDescent="0.25"/>
    <row r="8244" ht="15" customHeight="1" x14ac:dyDescent="0.25"/>
    <row r="8245" ht="15" customHeight="1" x14ac:dyDescent="0.25"/>
    <row r="8246" ht="15" customHeight="1" x14ac:dyDescent="0.25"/>
    <row r="8247" ht="15" customHeight="1" x14ac:dyDescent="0.25"/>
    <row r="8248" ht="15" customHeight="1" x14ac:dyDescent="0.25"/>
    <row r="8249" ht="15" customHeight="1" x14ac:dyDescent="0.25"/>
    <row r="8250" ht="15" customHeight="1" x14ac:dyDescent="0.25"/>
    <row r="8251" ht="15" customHeight="1" x14ac:dyDescent="0.25"/>
    <row r="8252" ht="15" customHeight="1" x14ac:dyDescent="0.25"/>
    <row r="8253" ht="15" customHeight="1" x14ac:dyDescent="0.25"/>
    <row r="8254" ht="15" customHeight="1" x14ac:dyDescent="0.25"/>
    <row r="8255" ht="15" customHeight="1" x14ac:dyDescent="0.25"/>
    <row r="8256" ht="15" customHeight="1" x14ac:dyDescent="0.25"/>
    <row r="8257" ht="15" customHeight="1" x14ac:dyDescent="0.25"/>
    <row r="8258" ht="15" customHeight="1" x14ac:dyDescent="0.25"/>
    <row r="8259" ht="15" customHeight="1" x14ac:dyDescent="0.25"/>
    <row r="8260" ht="15" customHeight="1" x14ac:dyDescent="0.25"/>
    <row r="8261" ht="15" customHeight="1" x14ac:dyDescent="0.25"/>
    <row r="8262" ht="15" customHeight="1" x14ac:dyDescent="0.25"/>
    <row r="8263" ht="15" customHeight="1" x14ac:dyDescent="0.25"/>
    <row r="8264" ht="15" customHeight="1" x14ac:dyDescent="0.25"/>
    <row r="8265" ht="15" customHeight="1" x14ac:dyDescent="0.25"/>
    <row r="8266" ht="15" customHeight="1" x14ac:dyDescent="0.25"/>
    <row r="8267" ht="15" customHeight="1" x14ac:dyDescent="0.25"/>
    <row r="8268" ht="15" customHeight="1" x14ac:dyDescent="0.25"/>
    <row r="8269" ht="15" customHeight="1" x14ac:dyDescent="0.25"/>
    <row r="8270" ht="15" customHeight="1" x14ac:dyDescent="0.25"/>
    <row r="8271" ht="15" customHeight="1" x14ac:dyDescent="0.25"/>
    <row r="8272" ht="15" customHeight="1" x14ac:dyDescent="0.25"/>
    <row r="8273" ht="15" customHeight="1" x14ac:dyDescent="0.25"/>
    <row r="8274" ht="15" customHeight="1" x14ac:dyDescent="0.25"/>
    <row r="8275" ht="15" customHeight="1" x14ac:dyDescent="0.25"/>
    <row r="8276" ht="15" customHeight="1" x14ac:dyDescent="0.25"/>
    <row r="8277" ht="15" customHeight="1" x14ac:dyDescent="0.25"/>
    <row r="8278" ht="15" customHeight="1" x14ac:dyDescent="0.25"/>
    <row r="8279" ht="15" customHeight="1" x14ac:dyDescent="0.25"/>
    <row r="8280" ht="15" customHeight="1" x14ac:dyDescent="0.25"/>
    <row r="8281" ht="15" customHeight="1" x14ac:dyDescent="0.25"/>
    <row r="8282" ht="15" customHeight="1" x14ac:dyDescent="0.25"/>
    <row r="8283" ht="15" customHeight="1" x14ac:dyDescent="0.25"/>
    <row r="8284" ht="15" customHeight="1" x14ac:dyDescent="0.25"/>
    <row r="8285" ht="15" customHeight="1" x14ac:dyDescent="0.25"/>
    <row r="8286" ht="15" customHeight="1" x14ac:dyDescent="0.25"/>
    <row r="8287" ht="15" customHeight="1" x14ac:dyDescent="0.25"/>
    <row r="8288" ht="15" customHeight="1" x14ac:dyDescent="0.25"/>
    <row r="8289" ht="15" customHeight="1" x14ac:dyDescent="0.25"/>
    <row r="8290" ht="15" customHeight="1" x14ac:dyDescent="0.25"/>
    <row r="8291" ht="15" customHeight="1" x14ac:dyDescent="0.25"/>
    <row r="8292" ht="15" customHeight="1" x14ac:dyDescent="0.25"/>
    <row r="8293" ht="15" customHeight="1" x14ac:dyDescent="0.25"/>
    <row r="8294" ht="15" customHeight="1" x14ac:dyDescent="0.25"/>
    <row r="8295" ht="15" customHeight="1" x14ac:dyDescent="0.25"/>
    <row r="8296" ht="15" customHeight="1" x14ac:dyDescent="0.25"/>
    <row r="8297" ht="15" customHeight="1" x14ac:dyDescent="0.25"/>
    <row r="8298" ht="15" customHeight="1" x14ac:dyDescent="0.25"/>
    <row r="8299" ht="15" customHeight="1" x14ac:dyDescent="0.25"/>
    <row r="8300" ht="15" customHeight="1" x14ac:dyDescent="0.25"/>
    <row r="8301" ht="15" customHeight="1" x14ac:dyDescent="0.25"/>
    <row r="8302" ht="15" customHeight="1" x14ac:dyDescent="0.25"/>
    <row r="8303" ht="15" customHeight="1" x14ac:dyDescent="0.25"/>
    <row r="8304" ht="15" customHeight="1" x14ac:dyDescent="0.25"/>
    <row r="8305" ht="15" customHeight="1" x14ac:dyDescent="0.25"/>
    <row r="8306" ht="15" customHeight="1" x14ac:dyDescent="0.25"/>
    <row r="8307" ht="15" customHeight="1" x14ac:dyDescent="0.25"/>
    <row r="8308" ht="15" customHeight="1" x14ac:dyDescent="0.25"/>
    <row r="8309" ht="15" customHeight="1" x14ac:dyDescent="0.25"/>
    <row r="8310" ht="15" customHeight="1" x14ac:dyDescent="0.25"/>
    <row r="8311" ht="15" customHeight="1" x14ac:dyDescent="0.25"/>
    <row r="8312" ht="15" customHeight="1" x14ac:dyDescent="0.25"/>
    <row r="8313" ht="15" customHeight="1" x14ac:dyDescent="0.25"/>
    <row r="8314" ht="15" customHeight="1" x14ac:dyDescent="0.25"/>
    <row r="8315" ht="15" customHeight="1" x14ac:dyDescent="0.25"/>
    <row r="8316" ht="15" customHeight="1" x14ac:dyDescent="0.25"/>
    <row r="8317" ht="15" customHeight="1" x14ac:dyDescent="0.25"/>
    <row r="8318" ht="15" customHeight="1" x14ac:dyDescent="0.25"/>
    <row r="8319" ht="15" customHeight="1" x14ac:dyDescent="0.25"/>
    <row r="8320" ht="15" customHeight="1" x14ac:dyDescent="0.25"/>
    <row r="8321" ht="15" customHeight="1" x14ac:dyDescent="0.25"/>
    <row r="8322" ht="15" customHeight="1" x14ac:dyDescent="0.25"/>
    <row r="8323" ht="15" customHeight="1" x14ac:dyDescent="0.25"/>
    <row r="8324" ht="15" customHeight="1" x14ac:dyDescent="0.25"/>
    <row r="8325" ht="15" customHeight="1" x14ac:dyDescent="0.25"/>
    <row r="8326" ht="15" customHeight="1" x14ac:dyDescent="0.25"/>
    <row r="8327" ht="15" customHeight="1" x14ac:dyDescent="0.25"/>
    <row r="8328" ht="15" customHeight="1" x14ac:dyDescent="0.25"/>
    <row r="8329" ht="15" customHeight="1" x14ac:dyDescent="0.25"/>
    <row r="8330" ht="15" customHeight="1" x14ac:dyDescent="0.25"/>
    <row r="8331" ht="15" customHeight="1" x14ac:dyDescent="0.25"/>
    <row r="8332" ht="15" customHeight="1" x14ac:dyDescent="0.25"/>
    <row r="8333" ht="15" customHeight="1" x14ac:dyDescent="0.25"/>
    <row r="8334" ht="15" customHeight="1" x14ac:dyDescent="0.25"/>
    <row r="8335" ht="15" customHeight="1" x14ac:dyDescent="0.25"/>
    <row r="8336" ht="15" customHeight="1" x14ac:dyDescent="0.25"/>
    <row r="8337" ht="15" customHeight="1" x14ac:dyDescent="0.25"/>
    <row r="8338" ht="15" customHeight="1" x14ac:dyDescent="0.25"/>
    <row r="8339" ht="15" customHeight="1" x14ac:dyDescent="0.25"/>
    <row r="8340" ht="15" customHeight="1" x14ac:dyDescent="0.25"/>
    <row r="8341" ht="15" customHeight="1" x14ac:dyDescent="0.25"/>
    <row r="8342" ht="15" customHeight="1" x14ac:dyDescent="0.25"/>
    <row r="8343" ht="15" customHeight="1" x14ac:dyDescent="0.25"/>
    <row r="8344" ht="15" customHeight="1" x14ac:dyDescent="0.25"/>
    <row r="8345" ht="15" customHeight="1" x14ac:dyDescent="0.25"/>
    <row r="8346" ht="15" customHeight="1" x14ac:dyDescent="0.25"/>
    <row r="8347" ht="15" customHeight="1" x14ac:dyDescent="0.25"/>
    <row r="8348" ht="15" customHeight="1" x14ac:dyDescent="0.25"/>
    <row r="8349" ht="15" customHeight="1" x14ac:dyDescent="0.25"/>
    <row r="8350" ht="15" customHeight="1" x14ac:dyDescent="0.25"/>
    <row r="8351" ht="15" customHeight="1" x14ac:dyDescent="0.25"/>
    <row r="8352" ht="15" customHeight="1" x14ac:dyDescent="0.25"/>
    <row r="8353" ht="15" customHeight="1" x14ac:dyDescent="0.25"/>
    <row r="8354" ht="15" customHeight="1" x14ac:dyDescent="0.25"/>
    <row r="8355" ht="15" customHeight="1" x14ac:dyDescent="0.25"/>
    <row r="8356" ht="15" customHeight="1" x14ac:dyDescent="0.25"/>
    <row r="8357" ht="15" customHeight="1" x14ac:dyDescent="0.25"/>
    <row r="8358" ht="15" customHeight="1" x14ac:dyDescent="0.25"/>
    <row r="8359" ht="15" customHeight="1" x14ac:dyDescent="0.25"/>
    <row r="8360" ht="15" customHeight="1" x14ac:dyDescent="0.25"/>
    <row r="8361" ht="15" customHeight="1" x14ac:dyDescent="0.25"/>
    <row r="8362" ht="15" customHeight="1" x14ac:dyDescent="0.25"/>
    <row r="8363" ht="15" customHeight="1" x14ac:dyDescent="0.25"/>
    <row r="8364" ht="15" customHeight="1" x14ac:dyDescent="0.25"/>
    <row r="8365" ht="15" customHeight="1" x14ac:dyDescent="0.25"/>
    <row r="8366" ht="15" customHeight="1" x14ac:dyDescent="0.25"/>
    <row r="8367" ht="15" customHeight="1" x14ac:dyDescent="0.25"/>
    <row r="8368" ht="15" customHeight="1" x14ac:dyDescent="0.25"/>
    <row r="8369" ht="15" customHeight="1" x14ac:dyDescent="0.25"/>
    <row r="8370" ht="15" customHeight="1" x14ac:dyDescent="0.25"/>
    <row r="8371" ht="15" customHeight="1" x14ac:dyDescent="0.25"/>
    <row r="8372" ht="15" customHeight="1" x14ac:dyDescent="0.25"/>
    <row r="8373" ht="15" customHeight="1" x14ac:dyDescent="0.25"/>
    <row r="8374" ht="15" customHeight="1" x14ac:dyDescent="0.25"/>
    <row r="8375" ht="15" customHeight="1" x14ac:dyDescent="0.25"/>
    <row r="8376" ht="15" customHeight="1" x14ac:dyDescent="0.25"/>
    <row r="8377" ht="15" customHeight="1" x14ac:dyDescent="0.25"/>
    <row r="8378" ht="15" customHeight="1" x14ac:dyDescent="0.25"/>
    <row r="8379" ht="15" customHeight="1" x14ac:dyDescent="0.25"/>
    <row r="8380" ht="15" customHeight="1" x14ac:dyDescent="0.25"/>
    <row r="8381" ht="15" customHeight="1" x14ac:dyDescent="0.25"/>
    <row r="8382" ht="15" customHeight="1" x14ac:dyDescent="0.25"/>
    <row r="8383" ht="15" customHeight="1" x14ac:dyDescent="0.25"/>
    <row r="8384" ht="15" customHeight="1" x14ac:dyDescent="0.25"/>
    <row r="8385" ht="15" customHeight="1" x14ac:dyDescent="0.25"/>
    <row r="8386" ht="15" customHeight="1" x14ac:dyDescent="0.25"/>
    <row r="8387" ht="15" customHeight="1" x14ac:dyDescent="0.25"/>
    <row r="8388" ht="15" customHeight="1" x14ac:dyDescent="0.25"/>
    <row r="8389" ht="15" customHeight="1" x14ac:dyDescent="0.25"/>
    <row r="8390" ht="15" customHeight="1" x14ac:dyDescent="0.25"/>
    <row r="8391" ht="15" customHeight="1" x14ac:dyDescent="0.25"/>
    <row r="8392" ht="15" customHeight="1" x14ac:dyDescent="0.25"/>
    <row r="8393" ht="15" customHeight="1" x14ac:dyDescent="0.25"/>
    <row r="8394" ht="15" customHeight="1" x14ac:dyDescent="0.25"/>
    <row r="8395" ht="1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V357"/>
  <sheetViews>
    <sheetView workbookViewId="0" zoomScale="100" zoomScaleNormal="100">
      <selection activeCell="J11" sqref="J11"/>
    </sheetView>
  </sheetViews>
  <sheetFormatPr defaultRowHeight="15" outlineLevelRow="0" outlineLevelCol="0" x14ac:dyDescent="0"/>
  <cols>
    <col min="1" max="1" width="9.5" style="62" customWidth="1"/>
    <col min="2" max="2" width="9" style="62" customWidth="1"/>
    <col min="3" max="3" width="17" style="62" customWidth="1"/>
    <col min="4" max="4" width="9.5" style="62" customWidth="1"/>
    <col min="5" max="5" width="47.25" style="63" customWidth="1"/>
    <col min="6" max="6" width="18.125" style="64" customWidth="1"/>
    <col min="7" max="7" width="8.875" style="62" customWidth="1"/>
    <col min="8" max="8" width="11.125" style="62" customWidth="1"/>
    <col min="9" max="9" width="16.625" style="62" customWidth="1"/>
    <col min="10" max="12" width="9.25" style="62" customWidth="1"/>
    <col min="13" max="16" width="9" style="62" customWidth="1"/>
    <col min="17" max="17" width="12.625" style="62" customWidth="1"/>
    <col min="18" max="18" width="8.25" style="65" customWidth="1"/>
    <col min="19" max="20" width="6.625" style="62" customWidth="1"/>
    <col min="21" max="21" width="12.5" style="62" customWidth="1"/>
    <col min="22" max="22" width="9.25" style="62" customWidth="1"/>
    <col min="23" max="16384" width="9" style="62" customWidth="1"/>
  </cols>
  <sheetData>
    <row r="1" ht="15" customHeight="1" spans="1:22" s="66" customFormat="1" x14ac:dyDescent="0.25">
      <c r="A1" s="66" t="s">
        <v>216</v>
      </c>
      <c r="B1" s="66" t="s">
        <v>217</v>
      </c>
      <c r="C1" s="66" t="s">
        <v>218</v>
      </c>
      <c r="D1" s="66" t="s">
        <v>201</v>
      </c>
      <c r="E1" s="63" t="s">
        <v>219</v>
      </c>
      <c r="F1" s="64" t="s">
        <v>220</v>
      </c>
      <c r="G1" s="66" t="s">
        <v>221</v>
      </c>
      <c r="H1" s="66" t="s">
        <v>222</v>
      </c>
      <c r="I1" s="66" t="s">
        <v>223</v>
      </c>
      <c r="J1" s="66" t="s">
        <v>224</v>
      </c>
      <c r="K1" s="66" t="s">
        <v>225</v>
      </c>
      <c r="L1" s="66" t="s">
        <v>226</v>
      </c>
      <c r="M1" s="66" t="s">
        <v>227</v>
      </c>
      <c r="N1" s="66" t="s">
        <v>228</v>
      </c>
      <c r="O1" s="66" t="s">
        <v>229</v>
      </c>
      <c r="P1" s="66" t="s">
        <v>230</v>
      </c>
      <c r="Q1" s="66" t="s">
        <v>231</v>
      </c>
      <c r="R1" s="65" t="s">
        <v>232</v>
      </c>
      <c r="S1" s="66" t="s">
        <v>233</v>
      </c>
      <c r="T1" s="66" t="s">
        <v>234</v>
      </c>
      <c r="U1" s="66" t="s">
        <v>235</v>
      </c>
      <c r="V1" s="66" t="s">
        <v>236</v>
      </c>
    </row>
    <row r="2" ht="15" customHeight="1" spans="5:18" x14ac:dyDescent="0.25">
      <c r="E2" s="67"/>
      <c r="F2" s="67"/>
      <c r="R2" s="67"/>
    </row>
    <row r="3" ht="15" customHeight="1" spans="5:18" x14ac:dyDescent="0.25">
      <c r="E3" s="67"/>
      <c r="F3" s="67"/>
      <c r="R3" s="67"/>
    </row>
    <row r="4" ht="15" customHeight="1" spans="5:18" x14ac:dyDescent="0.25">
      <c r="E4" s="67"/>
      <c r="F4" s="67"/>
      <c r="R4" s="67"/>
    </row>
    <row r="5" ht="15" customHeight="1" spans="5:18" x14ac:dyDescent="0.25">
      <c r="E5" s="67"/>
      <c r="F5" s="67"/>
      <c r="R5" s="67"/>
    </row>
    <row r="6" ht="15" customHeight="1" spans="5:18" x14ac:dyDescent="0.25">
      <c r="E6" s="67"/>
      <c r="F6" s="67"/>
      <c r="R6" s="67"/>
    </row>
    <row r="7" ht="15" customHeight="1" spans="5:18" x14ac:dyDescent="0.25">
      <c r="E7" s="67"/>
      <c r="F7" s="67"/>
      <c r="R7" s="67"/>
    </row>
    <row r="8" ht="15" customHeight="1" spans="5:18" x14ac:dyDescent="0.25">
      <c r="E8" s="67"/>
      <c r="F8" s="67"/>
      <c r="R8" s="67"/>
    </row>
    <row r="9" ht="15" customHeight="1" spans="5:18" x14ac:dyDescent="0.25">
      <c r="E9" s="67"/>
      <c r="F9" s="67"/>
      <c r="R9" s="67"/>
    </row>
    <row r="10" ht="15" customHeight="1" spans="5:18" x14ac:dyDescent="0.25">
      <c r="E10" s="67"/>
      <c r="F10" s="67"/>
      <c r="R10" s="67"/>
    </row>
    <row r="11" ht="15" customHeight="1" spans="5:18" x14ac:dyDescent="0.25">
      <c r="E11" s="67"/>
      <c r="F11" s="67"/>
      <c r="R11" s="67"/>
    </row>
    <row r="12" ht="15" customHeight="1" spans="5:18" x14ac:dyDescent="0.25">
      <c r="E12" s="67"/>
      <c r="F12" s="67"/>
      <c r="R12" s="67"/>
    </row>
    <row r="13" ht="15" customHeight="1" spans="5:18" x14ac:dyDescent="0.25">
      <c r="E13" s="67"/>
      <c r="F13" s="67"/>
      <c r="R13" s="67"/>
    </row>
    <row r="14" ht="15" customHeight="1" spans="5:18" x14ac:dyDescent="0.25">
      <c r="E14" s="67"/>
      <c r="F14" s="67"/>
      <c r="R14" s="67"/>
    </row>
    <row r="15" ht="15" customHeight="1" spans="5:18" x14ac:dyDescent="0.25">
      <c r="E15" s="67"/>
      <c r="F15" s="67"/>
      <c r="R15" s="67"/>
    </row>
    <row r="16" ht="15" customHeight="1" spans="5:18" x14ac:dyDescent="0.25">
      <c r="E16" s="67"/>
      <c r="F16" s="67"/>
      <c r="R16" s="67"/>
    </row>
    <row r="17" ht="15" customHeight="1" spans="5:18" x14ac:dyDescent="0.25">
      <c r="E17" s="67"/>
      <c r="F17" s="67"/>
      <c r="R17" s="67"/>
    </row>
    <row r="18" ht="15" customHeight="1" spans="5:18" x14ac:dyDescent="0.25">
      <c r="E18" s="67"/>
      <c r="F18" s="67"/>
      <c r="R18" s="67"/>
    </row>
    <row r="19" ht="15" customHeight="1" spans="5:18" x14ac:dyDescent="0.25">
      <c r="E19" s="67"/>
      <c r="F19" s="67"/>
      <c r="R19" s="67"/>
    </row>
    <row r="20" ht="15" customHeight="1" spans="5:18" x14ac:dyDescent="0.25">
      <c r="E20" s="67"/>
      <c r="F20" s="67"/>
      <c r="R20" s="67"/>
    </row>
    <row r="21" ht="15" customHeight="1" spans="5:18" x14ac:dyDescent="0.25">
      <c r="E21" s="67"/>
      <c r="F21" s="67"/>
      <c r="R21" s="67"/>
    </row>
    <row r="22" ht="15" customHeight="1" spans="5:18" x14ac:dyDescent="0.25">
      <c r="E22" s="67"/>
      <c r="F22" s="67"/>
      <c r="R22" s="67"/>
    </row>
    <row r="23" ht="15" customHeight="1" spans="5:18" x14ac:dyDescent="0.25">
      <c r="E23" s="67"/>
      <c r="F23" s="67"/>
      <c r="R23" s="67"/>
    </row>
    <row r="24" ht="15" customHeight="1" spans="5:18" x14ac:dyDescent="0.25">
      <c r="E24" s="67"/>
      <c r="F24" s="67"/>
      <c r="R24" s="67"/>
    </row>
    <row r="25" ht="15" customHeight="1" spans="5:18" x14ac:dyDescent="0.25">
      <c r="E25" s="67"/>
      <c r="F25" s="67"/>
      <c r="R25" s="67"/>
    </row>
    <row r="26" ht="15" customHeight="1" spans="5:18" x14ac:dyDescent="0.25">
      <c r="E26" s="67"/>
      <c r="F26" s="67"/>
      <c r="R26" s="67"/>
    </row>
    <row r="27" ht="15" customHeight="1" spans="5:18" x14ac:dyDescent="0.25">
      <c r="E27" s="67"/>
      <c r="F27" s="67"/>
      <c r="R27" s="67"/>
    </row>
    <row r="28" ht="15" customHeight="1" spans="5:18" x14ac:dyDescent="0.25">
      <c r="E28" s="67"/>
      <c r="F28" s="67"/>
      <c r="R28" s="67"/>
    </row>
    <row r="29" ht="15" customHeight="1" spans="5:18" x14ac:dyDescent="0.25">
      <c r="E29" s="67"/>
      <c r="F29" s="67"/>
      <c r="R29" s="67"/>
    </row>
    <row r="30" ht="15" customHeight="1" spans="5:18" x14ac:dyDescent="0.25">
      <c r="E30" s="67"/>
      <c r="F30" s="67"/>
      <c r="R30" s="67"/>
    </row>
    <row r="31" ht="15" customHeight="1" spans="5:18" x14ac:dyDescent="0.25">
      <c r="E31" s="67"/>
      <c r="F31" s="67"/>
      <c r="R31" s="67"/>
    </row>
    <row r="32" ht="15" customHeight="1" spans="5:18" x14ac:dyDescent="0.25">
      <c r="E32" s="67"/>
      <c r="F32" s="67"/>
      <c r="R32" s="67"/>
    </row>
    <row r="33" ht="15" customHeight="1" spans="5:18" x14ac:dyDescent="0.25">
      <c r="E33" s="67"/>
      <c r="F33" s="67"/>
      <c r="R33" s="67"/>
    </row>
    <row r="34" ht="15" customHeight="1" spans="5:18" x14ac:dyDescent="0.25">
      <c r="E34" s="67"/>
      <c r="F34" s="67"/>
      <c r="R34" s="67"/>
    </row>
    <row r="35" ht="15" customHeight="1" spans="5:18" x14ac:dyDescent="0.25">
      <c r="E35" s="67"/>
      <c r="F35" s="67"/>
      <c r="R35" s="67"/>
    </row>
    <row r="36" ht="15" customHeight="1" spans="5:18" x14ac:dyDescent="0.25">
      <c r="E36" s="67"/>
      <c r="F36" s="67"/>
      <c r="R36" s="67"/>
    </row>
    <row r="37" ht="15" customHeight="1" spans="5:18" x14ac:dyDescent="0.25">
      <c r="E37" s="67"/>
      <c r="F37" s="67"/>
      <c r="R37" s="67"/>
    </row>
    <row r="38" ht="15" customHeight="1" spans="5:18" x14ac:dyDescent="0.25">
      <c r="E38" s="67"/>
      <c r="F38" s="67"/>
      <c r="R38" s="67"/>
    </row>
    <row r="39" ht="15" customHeight="1" spans="5:18" x14ac:dyDescent="0.25">
      <c r="E39" s="67"/>
      <c r="F39" s="67"/>
      <c r="R39" s="67"/>
    </row>
    <row r="40" ht="15" customHeight="1" spans="5:18" x14ac:dyDescent="0.25">
      <c r="E40" s="67"/>
      <c r="F40" s="67"/>
      <c r="R40" s="67"/>
    </row>
    <row r="41" ht="15" customHeight="1" spans="5:18" x14ac:dyDescent="0.25">
      <c r="E41" s="67"/>
      <c r="F41" s="67"/>
      <c r="R41" s="67"/>
    </row>
    <row r="42" ht="15" customHeight="1" spans="5:18" x14ac:dyDescent="0.25">
      <c r="E42" s="67"/>
      <c r="F42" s="67"/>
      <c r="R42" s="67"/>
    </row>
    <row r="43" ht="15" customHeight="1" spans="5:18" x14ac:dyDescent="0.25">
      <c r="E43" s="67"/>
      <c r="F43" s="67"/>
      <c r="R43" s="67"/>
    </row>
    <row r="44" ht="15" customHeight="1" spans="5:18" x14ac:dyDescent="0.25">
      <c r="E44" s="67"/>
      <c r="F44" s="67"/>
      <c r="R44" s="67"/>
    </row>
    <row r="45" ht="15" customHeight="1" spans="5:18" x14ac:dyDescent="0.25">
      <c r="E45" s="67"/>
      <c r="F45" s="67"/>
      <c r="R45" s="67"/>
    </row>
    <row r="46" ht="15" customHeight="1" spans="5:18" x14ac:dyDescent="0.25">
      <c r="E46" s="67"/>
      <c r="F46" s="67"/>
      <c r="R46" s="67"/>
    </row>
    <row r="47" ht="15" customHeight="1" spans="5:18" x14ac:dyDescent="0.25">
      <c r="E47" s="67"/>
      <c r="F47" s="67"/>
      <c r="R47" s="67"/>
    </row>
    <row r="48" ht="15" customHeight="1" spans="5:18" x14ac:dyDescent="0.25">
      <c r="E48" s="67"/>
      <c r="F48" s="67"/>
      <c r="R48" s="67"/>
    </row>
    <row r="49" ht="15" customHeight="1" spans="5:18" x14ac:dyDescent="0.25">
      <c r="E49" s="67"/>
      <c r="F49" s="67"/>
      <c r="R49" s="67"/>
    </row>
    <row r="50" ht="15" customHeight="1" spans="5:18" x14ac:dyDescent="0.25">
      <c r="E50" s="67"/>
      <c r="F50" s="67"/>
      <c r="R50" s="67"/>
    </row>
    <row r="51" ht="15" customHeight="1" spans="5:18" x14ac:dyDescent="0.25">
      <c r="E51" s="67"/>
      <c r="F51" s="67"/>
      <c r="R51" s="67"/>
    </row>
    <row r="52" ht="15" customHeight="1" spans="5:18" x14ac:dyDescent="0.25">
      <c r="E52" s="67"/>
      <c r="F52" s="67"/>
      <c r="R52" s="67"/>
    </row>
    <row r="53" ht="15" customHeight="1" spans="5:18" x14ac:dyDescent="0.25">
      <c r="E53" s="67"/>
      <c r="F53" s="67"/>
      <c r="R53" s="67"/>
    </row>
    <row r="54" ht="15" customHeight="1" spans="5:18" x14ac:dyDescent="0.25">
      <c r="E54" s="67"/>
      <c r="F54" s="67"/>
      <c r="R54" s="67"/>
    </row>
    <row r="55" ht="15" customHeight="1" spans="5:18" x14ac:dyDescent="0.25">
      <c r="E55" s="67"/>
      <c r="F55" s="67"/>
      <c r="R55" s="67"/>
    </row>
    <row r="56" ht="15" customHeight="1" spans="5:18" x14ac:dyDescent="0.25">
      <c r="E56" s="67"/>
      <c r="F56" s="67"/>
      <c r="R56" s="67"/>
    </row>
    <row r="57" ht="15" customHeight="1" spans="5:18" x14ac:dyDescent="0.25">
      <c r="E57" s="67"/>
      <c r="F57" s="67"/>
      <c r="R57" s="67"/>
    </row>
    <row r="58" ht="15" customHeight="1" spans="5:18" x14ac:dyDescent="0.25">
      <c r="E58" s="67"/>
      <c r="F58" s="67"/>
      <c r="R58" s="67"/>
    </row>
    <row r="59" ht="15" customHeight="1" spans="5:18" x14ac:dyDescent="0.25">
      <c r="E59" s="67"/>
      <c r="F59" s="67"/>
      <c r="R59" s="67"/>
    </row>
    <row r="60" ht="15" customHeight="1" spans="5:18" x14ac:dyDescent="0.25">
      <c r="E60" s="67"/>
      <c r="F60" s="67"/>
      <c r="R60" s="67"/>
    </row>
    <row r="61" ht="15" customHeight="1" spans="5:18" x14ac:dyDescent="0.25">
      <c r="E61" s="67"/>
      <c r="F61" s="67"/>
      <c r="R61" s="67"/>
    </row>
    <row r="62" ht="15" customHeight="1" spans="5:18" x14ac:dyDescent="0.25">
      <c r="E62" s="67"/>
      <c r="F62" s="67"/>
      <c r="R62" s="67"/>
    </row>
    <row r="63" ht="15" customHeight="1" spans="5:18" x14ac:dyDescent="0.25">
      <c r="E63" s="67"/>
      <c r="F63" s="67"/>
      <c r="R63" s="67"/>
    </row>
    <row r="64" ht="15" customHeight="1" spans="5:18" x14ac:dyDescent="0.25">
      <c r="E64" s="67"/>
      <c r="F64" s="67"/>
      <c r="R64" s="67"/>
    </row>
    <row r="65" ht="15" customHeight="1" spans="5:18" x14ac:dyDescent="0.25">
      <c r="E65" s="67"/>
      <c r="F65" s="67"/>
      <c r="R65" s="67"/>
    </row>
    <row r="66" ht="15" customHeight="1" spans="5:18" x14ac:dyDescent="0.25">
      <c r="E66" s="67"/>
      <c r="F66" s="67"/>
      <c r="R66" s="67"/>
    </row>
    <row r="67" ht="15" customHeight="1" spans="5:18" x14ac:dyDescent="0.25">
      <c r="E67" s="67"/>
      <c r="F67" s="67"/>
      <c r="R67" s="67"/>
    </row>
    <row r="68" ht="15" customHeight="1" spans="5:18" x14ac:dyDescent="0.25">
      <c r="E68" s="67"/>
      <c r="F68" s="67"/>
      <c r="R68" s="67"/>
    </row>
    <row r="69" ht="15" customHeight="1" spans="5:18" x14ac:dyDescent="0.25">
      <c r="E69" s="67"/>
      <c r="F69" s="67"/>
      <c r="R69" s="67"/>
    </row>
    <row r="70" ht="15" customHeight="1" spans="5:18" x14ac:dyDescent="0.25">
      <c r="E70" s="67"/>
      <c r="F70" s="67"/>
      <c r="R70" s="67"/>
    </row>
    <row r="71" ht="15" customHeight="1" spans="5:18" x14ac:dyDescent="0.25">
      <c r="E71" s="67"/>
      <c r="F71" s="67"/>
      <c r="R71" s="67"/>
    </row>
    <row r="72" ht="15" customHeight="1" spans="5:18" x14ac:dyDescent="0.25">
      <c r="E72" s="67"/>
      <c r="F72" s="67"/>
      <c r="R72" s="67"/>
    </row>
    <row r="73" ht="15" customHeight="1" spans="5:18" x14ac:dyDescent="0.25">
      <c r="E73" s="67"/>
      <c r="F73" s="67"/>
      <c r="R73" s="67"/>
    </row>
    <row r="74" ht="15" customHeight="1" spans="5:18" x14ac:dyDescent="0.25">
      <c r="E74" s="67"/>
      <c r="F74" s="67"/>
      <c r="R74" s="67"/>
    </row>
    <row r="75" ht="15" customHeight="1" spans="5:18" x14ac:dyDescent="0.25">
      <c r="E75" s="67"/>
      <c r="F75" s="67"/>
      <c r="R75" s="67"/>
    </row>
    <row r="76" ht="15" customHeight="1" spans="5:18" x14ac:dyDescent="0.25">
      <c r="E76" s="67"/>
      <c r="F76" s="67"/>
      <c r="R76" s="67"/>
    </row>
    <row r="77" ht="15" customHeight="1" spans="5:18" x14ac:dyDescent="0.25">
      <c r="E77" s="67"/>
      <c r="F77" s="67"/>
      <c r="R77" s="67"/>
    </row>
    <row r="78" ht="15" customHeight="1" spans="5:18" x14ac:dyDescent="0.25">
      <c r="E78" s="67"/>
      <c r="F78" s="67"/>
      <c r="R78" s="67"/>
    </row>
    <row r="79" ht="15" customHeight="1" spans="5:18" x14ac:dyDescent="0.25">
      <c r="E79" s="67"/>
      <c r="F79" s="67"/>
      <c r="R79" s="67"/>
    </row>
    <row r="80" ht="15" customHeight="1" spans="5:18" x14ac:dyDescent="0.25">
      <c r="E80" s="67"/>
      <c r="F80" s="67"/>
      <c r="R80" s="67"/>
    </row>
    <row r="81" ht="15" customHeight="1" spans="5:18" x14ac:dyDescent="0.25">
      <c r="E81" s="67"/>
      <c r="F81" s="67"/>
      <c r="R81" s="67"/>
    </row>
    <row r="82" ht="15" customHeight="1" spans="5:18" x14ac:dyDescent="0.25">
      <c r="E82" s="67"/>
      <c r="F82" s="67"/>
      <c r="R82" s="67"/>
    </row>
    <row r="83" ht="15" customHeight="1" spans="5:18" x14ac:dyDescent="0.25">
      <c r="E83" s="67"/>
      <c r="F83" s="67"/>
      <c r="R83" s="67"/>
    </row>
    <row r="84" ht="15" customHeight="1" spans="5:18" x14ac:dyDescent="0.25">
      <c r="E84" s="67"/>
      <c r="F84" s="67"/>
      <c r="R84" s="67"/>
    </row>
    <row r="85" ht="15" customHeight="1" spans="5:18" x14ac:dyDescent="0.25">
      <c r="E85" s="67"/>
      <c r="F85" s="67"/>
      <c r="R85" s="67"/>
    </row>
    <row r="86" ht="15" customHeight="1" spans="5:18" x14ac:dyDescent="0.25">
      <c r="E86" s="67"/>
      <c r="F86" s="67"/>
      <c r="R86" s="67"/>
    </row>
    <row r="87" ht="15" customHeight="1" spans="5:18" x14ac:dyDescent="0.25">
      <c r="E87" s="67"/>
      <c r="F87" s="67"/>
      <c r="R87" s="67"/>
    </row>
    <row r="88" ht="15" customHeight="1" spans="5:18" x14ac:dyDescent="0.25">
      <c r="E88" s="67"/>
      <c r="F88" s="67"/>
      <c r="R88" s="67"/>
    </row>
    <row r="89" ht="15" customHeight="1" spans="5:18" x14ac:dyDescent="0.25">
      <c r="E89" s="67"/>
      <c r="F89" s="67"/>
      <c r="R89" s="67"/>
    </row>
    <row r="90" ht="15" customHeight="1" spans="5:18" x14ac:dyDescent="0.25">
      <c r="E90" s="67"/>
      <c r="F90" s="67"/>
      <c r="R90" s="67"/>
    </row>
    <row r="91" ht="15" customHeight="1" spans="5:18" x14ac:dyDescent="0.25">
      <c r="E91" s="67"/>
      <c r="F91" s="67"/>
      <c r="R91" s="67"/>
    </row>
    <row r="92" ht="15" customHeight="1" spans="5:18" x14ac:dyDescent="0.25">
      <c r="E92" s="67"/>
      <c r="F92" s="67"/>
      <c r="R92" s="67"/>
    </row>
    <row r="93" ht="15" customHeight="1" spans="5:18" x14ac:dyDescent="0.25">
      <c r="E93" s="67"/>
      <c r="F93" s="67"/>
      <c r="R93" s="67"/>
    </row>
    <row r="94" ht="15" customHeight="1" spans="5:18" x14ac:dyDescent="0.25">
      <c r="E94" s="67"/>
      <c r="F94" s="67"/>
      <c r="R94" s="67"/>
    </row>
    <row r="95" ht="15" customHeight="1" spans="5:18" x14ac:dyDescent="0.25">
      <c r="E95" s="67"/>
      <c r="F95" s="67"/>
      <c r="R95" s="67"/>
    </row>
    <row r="96" ht="15" customHeight="1" spans="5:18" x14ac:dyDescent="0.25">
      <c r="E96" s="67"/>
      <c r="F96" s="67"/>
      <c r="R96" s="67"/>
    </row>
    <row r="97" ht="15" customHeight="1" spans="5:18" x14ac:dyDescent="0.25">
      <c r="E97" s="67"/>
      <c r="F97" s="67"/>
      <c r="R97" s="67"/>
    </row>
    <row r="98" ht="15" customHeight="1" spans="5:18" x14ac:dyDescent="0.25">
      <c r="E98" s="67"/>
      <c r="F98" s="67"/>
      <c r="R98" s="67"/>
    </row>
    <row r="99" ht="15" customHeight="1" spans="5:18" x14ac:dyDescent="0.25">
      <c r="E99" s="67"/>
      <c r="F99" s="67"/>
      <c r="R99" s="67"/>
    </row>
    <row r="100" ht="15" customHeight="1" spans="5:18" x14ac:dyDescent="0.25">
      <c r="E100" s="67"/>
      <c r="F100" s="67"/>
      <c r="R100" s="67"/>
    </row>
    <row r="101" ht="15" customHeight="1" spans="5:18" x14ac:dyDescent="0.25">
      <c r="E101" s="67"/>
      <c r="F101" s="67"/>
      <c r="R101" s="67"/>
    </row>
    <row r="102" ht="15" customHeight="1" spans="5:18" x14ac:dyDescent="0.25">
      <c r="E102" s="67"/>
      <c r="F102" s="67"/>
      <c r="R102" s="67"/>
    </row>
    <row r="103" ht="15" customHeight="1" spans="5:18" x14ac:dyDescent="0.25">
      <c r="E103" s="67"/>
      <c r="F103" s="67"/>
      <c r="R103" s="67"/>
    </row>
    <row r="104" ht="15" customHeight="1" spans="5:18" x14ac:dyDescent="0.25">
      <c r="E104" s="67"/>
      <c r="F104" s="67"/>
      <c r="R104" s="67"/>
    </row>
    <row r="105" ht="15" customHeight="1" spans="5:18" x14ac:dyDescent="0.25">
      <c r="E105" s="67"/>
      <c r="F105" s="67"/>
      <c r="R105" s="67"/>
    </row>
    <row r="106" ht="15" customHeight="1" spans="5:18" x14ac:dyDescent="0.25">
      <c r="E106" s="67"/>
      <c r="F106" s="67"/>
      <c r="R106" s="67"/>
    </row>
    <row r="107" ht="15" customHeight="1" spans="5:18" x14ac:dyDescent="0.25">
      <c r="E107" s="67"/>
      <c r="F107" s="67"/>
      <c r="R107" s="67"/>
    </row>
    <row r="108" ht="15" customHeight="1" spans="5:18" x14ac:dyDescent="0.25">
      <c r="E108" s="67"/>
      <c r="F108" s="67"/>
      <c r="R108" s="67"/>
    </row>
    <row r="109" ht="15" customHeight="1" spans="5:18" x14ac:dyDescent="0.25">
      <c r="E109" s="67"/>
      <c r="F109" s="67"/>
      <c r="R109" s="67"/>
    </row>
    <row r="110" ht="15" customHeight="1" spans="5:18" x14ac:dyDescent="0.25">
      <c r="E110" s="67"/>
      <c r="F110" s="67"/>
      <c r="R110" s="67"/>
    </row>
    <row r="111" ht="15" customHeight="1" spans="5:18" x14ac:dyDescent="0.25">
      <c r="E111" s="67"/>
      <c r="F111" s="67"/>
      <c r="R111" s="67"/>
    </row>
    <row r="112" ht="15" customHeight="1" spans="5:18" x14ac:dyDescent="0.25">
      <c r="E112" s="67"/>
      <c r="F112" s="67"/>
      <c r="R112" s="67"/>
    </row>
    <row r="113" ht="15" customHeight="1" spans="5:18" x14ac:dyDescent="0.25">
      <c r="E113" s="67"/>
      <c r="F113" s="67"/>
      <c r="R113" s="67"/>
    </row>
    <row r="114" ht="15" customHeight="1" spans="5:18" x14ac:dyDescent="0.25">
      <c r="E114" s="67"/>
      <c r="F114" s="67"/>
      <c r="R114" s="67"/>
    </row>
    <row r="115" ht="15" customHeight="1" spans="5:18" x14ac:dyDescent="0.25">
      <c r="E115" s="67"/>
      <c r="F115" s="67"/>
      <c r="R115" s="67"/>
    </row>
    <row r="116" ht="15" customHeight="1" spans="5:18" x14ac:dyDescent="0.25">
      <c r="E116" s="67"/>
      <c r="F116" s="67"/>
      <c r="R116" s="67"/>
    </row>
    <row r="117" ht="15" customHeight="1" spans="5:18" x14ac:dyDescent="0.25">
      <c r="E117" s="67"/>
      <c r="F117" s="67"/>
      <c r="R117" s="67"/>
    </row>
    <row r="118" ht="15" customHeight="1" spans="5:18" x14ac:dyDescent="0.25">
      <c r="E118" s="67"/>
      <c r="F118" s="67"/>
      <c r="R118" s="67"/>
    </row>
    <row r="119" ht="15" customHeight="1" spans="5:18" x14ac:dyDescent="0.25">
      <c r="E119" s="67"/>
      <c r="F119" s="67"/>
      <c r="R119" s="67"/>
    </row>
    <row r="120" ht="15" customHeight="1" spans="5:18" x14ac:dyDescent="0.25">
      <c r="E120" s="67"/>
      <c r="F120" s="67"/>
      <c r="R120" s="67"/>
    </row>
    <row r="121" ht="15" customHeight="1" spans="5:18" x14ac:dyDescent="0.25">
      <c r="E121" s="67"/>
      <c r="F121" s="67"/>
      <c r="R121" s="67"/>
    </row>
    <row r="122" ht="15" customHeight="1" spans="5:18" x14ac:dyDescent="0.25">
      <c r="E122" s="67"/>
      <c r="F122" s="67"/>
      <c r="R122" s="67"/>
    </row>
    <row r="123" ht="15" customHeight="1" spans="5:18" x14ac:dyDescent="0.25">
      <c r="E123" s="67"/>
      <c r="F123" s="67"/>
      <c r="R123" s="67"/>
    </row>
    <row r="124" ht="15" customHeight="1" spans="5:18" x14ac:dyDescent="0.25">
      <c r="E124" s="67"/>
      <c r="F124" s="67"/>
      <c r="R124" s="67"/>
    </row>
    <row r="125" ht="15" customHeight="1" spans="5:18" x14ac:dyDescent="0.25">
      <c r="E125" s="67"/>
      <c r="F125" s="67"/>
      <c r="R125" s="67"/>
    </row>
    <row r="126" ht="15" customHeight="1" spans="5:18" x14ac:dyDescent="0.25">
      <c r="E126" s="67"/>
      <c r="F126" s="67"/>
      <c r="R126" s="67"/>
    </row>
    <row r="127" ht="15" customHeight="1" spans="5:18" x14ac:dyDescent="0.25">
      <c r="E127" s="67"/>
      <c r="F127" s="67"/>
      <c r="R127" s="67"/>
    </row>
    <row r="128" ht="15" customHeight="1" spans="5:18" x14ac:dyDescent="0.25">
      <c r="E128" s="67"/>
      <c r="F128" s="67"/>
      <c r="R128" s="67"/>
    </row>
    <row r="129" ht="15" customHeight="1" spans="5:18" x14ac:dyDescent="0.25">
      <c r="E129" s="67"/>
      <c r="F129" s="67"/>
      <c r="R129" s="67"/>
    </row>
    <row r="130" ht="15" customHeight="1" spans="5:18" x14ac:dyDescent="0.25">
      <c r="E130" s="67"/>
      <c r="F130" s="67"/>
      <c r="R130" s="67"/>
    </row>
    <row r="131" ht="15" customHeight="1" spans="5:18" x14ac:dyDescent="0.25">
      <c r="E131" s="67"/>
      <c r="F131" s="67"/>
      <c r="R131" s="67"/>
    </row>
    <row r="132" ht="15" customHeight="1" spans="5:18" x14ac:dyDescent="0.25">
      <c r="E132" s="67"/>
      <c r="F132" s="67"/>
      <c r="R132" s="67"/>
    </row>
    <row r="133" ht="15" customHeight="1" spans="5:18" x14ac:dyDescent="0.25">
      <c r="E133" s="67"/>
      <c r="F133" s="67"/>
      <c r="R133" s="67"/>
    </row>
    <row r="134" ht="15" customHeight="1" spans="5:18" x14ac:dyDescent="0.25">
      <c r="E134" s="67"/>
      <c r="F134" s="67"/>
      <c r="R134" s="67"/>
    </row>
    <row r="135" ht="15" customHeight="1" spans="5:18" x14ac:dyDescent="0.25">
      <c r="E135" s="67"/>
      <c r="F135" s="67"/>
      <c r="R135" s="67"/>
    </row>
    <row r="136" ht="15" customHeight="1" spans="5:18" x14ac:dyDescent="0.25">
      <c r="E136" s="67"/>
      <c r="F136" s="67"/>
      <c r="R136" s="67"/>
    </row>
    <row r="137" ht="15" customHeight="1" spans="5:18" x14ac:dyDescent="0.25">
      <c r="E137" s="67"/>
      <c r="F137" s="67"/>
      <c r="R137" s="67"/>
    </row>
    <row r="138" ht="15" customHeight="1" spans="5:18" x14ac:dyDescent="0.25">
      <c r="E138" s="67"/>
      <c r="F138" s="67"/>
      <c r="R138" s="67"/>
    </row>
    <row r="139" ht="15" customHeight="1" spans="5:18" x14ac:dyDescent="0.25">
      <c r="E139" s="67"/>
      <c r="F139" s="67"/>
      <c r="R139" s="67"/>
    </row>
    <row r="140" ht="15" customHeight="1" spans="5:18" x14ac:dyDescent="0.25">
      <c r="E140" s="67"/>
      <c r="F140" s="67"/>
      <c r="R140" s="67"/>
    </row>
    <row r="141" ht="15" customHeight="1" spans="5:18" x14ac:dyDescent="0.25">
      <c r="E141" s="67"/>
      <c r="F141" s="67"/>
      <c r="R141" s="67"/>
    </row>
    <row r="142" ht="15" customHeight="1" spans="5:18" x14ac:dyDescent="0.25">
      <c r="E142" s="67"/>
      <c r="F142" s="67"/>
      <c r="R142" s="67"/>
    </row>
    <row r="143" ht="15" customHeight="1" spans="5:18" x14ac:dyDescent="0.25">
      <c r="E143" s="67"/>
      <c r="F143" s="67"/>
      <c r="R143" s="67"/>
    </row>
    <row r="144" ht="15" customHeight="1" spans="5:18" x14ac:dyDescent="0.25">
      <c r="E144" s="67"/>
      <c r="F144" s="67"/>
      <c r="R144" s="67"/>
    </row>
    <row r="145" ht="15" customHeight="1" spans="5:18" x14ac:dyDescent="0.25">
      <c r="E145" s="67"/>
      <c r="F145" s="67"/>
      <c r="R145" s="67"/>
    </row>
    <row r="146" ht="15" customHeight="1" spans="5:18" x14ac:dyDescent="0.25">
      <c r="E146" s="67"/>
      <c r="F146" s="67"/>
      <c r="R146" s="67"/>
    </row>
    <row r="147" ht="15" customHeight="1" spans="5:18" x14ac:dyDescent="0.25">
      <c r="E147" s="67"/>
      <c r="F147" s="67"/>
      <c r="R147" s="67"/>
    </row>
    <row r="148" ht="15" customHeight="1" spans="5:18" x14ac:dyDescent="0.25">
      <c r="E148" s="67"/>
      <c r="F148" s="67"/>
      <c r="R148" s="67"/>
    </row>
    <row r="149" ht="15" customHeight="1" spans="5:18" x14ac:dyDescent="0.25">
      <c r="E149" s="67"/>
      <c r="F149" s="67"/>
      <c r="R149" s="67"/>
    </row>
    <row r="150" ht="15" customHeight="1" spans="5:18" x14ac:dyDescent="0.25">
      <c r="E150" s="67"/>
      <c r="F150" s="67"/>
      <c r="R150" s="67"/>
    </row>
    <row r="151" ht="15" customHeight="1" spans="5:18" x14ac:dyDescent="0.25">
      <c r="E151" s="67"/>
      <c r="F151" s="67"/>
      <c r="R151" s="67"/>
    </row>
    <row r="152" ht="15" customHeight="1" spans="5:18" x14ac:dyDescent="0.25">
      <c r="E152" s="67"/>
      <c r="F152" s="67"/>
      <c r="R152" s="67"/>
    </row>
    <row r="153" ht="15" customHeight="1" spans="5:18" x14ac:dyDescent="0.25">
      <c r="E153" s="67"/>
      <c r="F153" s="67"/>
      <c r="R153" s="67"/>
    </row>
    <row r="154" ht="15" customHeight="1" spans="5:18" x14ac:dyDescent="0.25">
      <c r="E154" s="67"/>
      <c r="F154" s="67"/>
      <c r="R154" s="67"/>
    </row>
    <row r="155" ht="15" customHeight="1" spans="5:18" x14ac:dyDescent="0.25">
      <c r="E155" s="67"/>
      <c r="F155" s="67"/>
      <c r="R155" s="67"/>
    </row>
    <row r="156" ht="15" customHeight="1" spans="5:18" x14ac:dyDescent="0.25">
      <c r="E156" s="67"/>
      <c r="F156" s="67"/>
      <c r="R156" s="67"/>
    </row>
    <row r="157" ht="15" customHeight="1" spans="5:18" x14ac:dyDescent="0.25">
      <c r="E157" s="67"/>
      <c r="F157" s="67"/>
      <c r="R157" s="67"/>
    </row>
    <row r="158" ht="15" customHeight="1" spans="5:18" x14ac:dyDescent="0.25">
      <c r="E158" s="67"/>
      <c r="F158" s="67"/>
      <c r="R158" s="67"/>
    </row>
    <row r="159" ht="15" customHeight="1" spans="5:18" x14ac:dyDescent="0.25">
      <c r="E159" s="67"/>
      <c r="F159" s="67"/>
      <c r="R159" s="67"/>
    </row>
    <row r="160" ht="15" customHeight="1" spans="5:18" x14ac:dyDescent="0.25">
      <c r="E160" s="67"/>
      <c r="F160" s="67"/>
      <c r="R160" s="67"/>
    </row>
    <row r="161" ht="15" customHeight="1" spans="5:18" x14ac:dyDescent="0.25">
      <c r="E161" s="67"/>
      <c r="F161" s="67"/>
      <c r="R161" s="67"/>
    </row>
    <row r="162" ht="15" customHeight="1" spans="5:18" x14ac:dyDescent="0.25">
      <c r="E162" s="67"/>
      <c r="F162" s="67"/>
      <c r="R162" s="67"/>
    </row>
    <row r="163" ht="15" customHeight="1" spans="5:18" x14ac:dyDescent="0.25">
      <c r="E163" s="67"/>
      <c r="F163" s="67"/>
      <c r="R163" s="67"/>
    </row>
    <row r="164" ht="15" customHeight="1" spans="5:18" x14ac:dyDescent="0.25">
      <c r="E164" s="67"/>
      <c r="F164" s="67"/>
      <c r="R164" s="67"/>
    </row>
    <row r="165" ht="15" customHeight="1" spans="5:18" x14ac:dyDescent="0.25">
      <c r="E165" s="67"/>
      <c r="F165" s="67"/>
      <c r="R165" s="67"/>
    </row>
    <row r="166" ht="15" customHeight="1" spans="5:18" x14ac:dyDescent="0.25">
      <c r="E166" s="67"/>
      <c r="F166" s="67"/>
      <c r="R166" s="67"/>
    </row>
    <row r="167" ht="15" customHeight="1" spans="5:18" x14ac:dyDescent="0.25">
      <c r="E167" s="67"/>
      <c r="F167" s="67"/>
      <c r="R167" s="67"/>
    </row>
    <row r="168" ht="15" customHeight="1" spans="5:18" x14ac:dyDescent="0.25">
      <c r="E168" s="67"/>
      <c r="F168" s="67"/>
      <c r="R168" s="67"/>
    </row>
    <row r="169" ht="15" customHeight="1" spans="5:18" x14ac:dyDescent="0.25">
      <c r="E169" s="67"/>
      <c r="F169" s="67"/>
      <c r="R169" s="67"/>
    </row>
    <row r="170" ht="15" customHeight="1" spans="5:18" x14ac:dyDescent="0.25">
      <c r="E170" s="67"/>
      <c r="F170" s="67"/>
      <c r="R170" s="67"/>
    </row>
    <row r="171" ht="15" customHeight="1" spans="5:18" x14ac:dyDescent="0.25">
      <c r="E171" s="67"/>
      <c r="F171" s="67"/>
      <c r="R171" s="67"/>
    </row>
    <row r="172" ht="15" customHeight="1" spans="5:18" x14ac:dyDescent="0.25">
      <c r="E172" s="67"/>
      <c r="F172" s="67"/>
      <c r="R172" s="67"/>
    </row>
    <row r="173" ht="15" customHeight="1" spans="5:18" x14ac:dyDescent="0.25">
      <c r="E173" s="67"/>
      <c r="F173" s="67"/>
      <c r="R173" s="67"/>
    </row>
    <row r="174" ht="15" customHeight="1" spans="5:18" x14ac:dyDescent="0.25">
      <c r="E174" s="67"/>
      <c r="F174" s="67"/>
      <c r="R174" s="67"/>
    </row>
    <row r="175" ht="15" customHeight="1" spans="5:18" x14ac:dyDescent="0.25">
      <c r="E175" s="67"/>
      <c r="F175" s="67"/>
      <c r="R175" s="67"/>
    </row>
    <row r="176" ht="15" customHeight="1" spans="5:18" x14ac:dyDescent="0.25">
      <c r="E176" s="67"/>
      <c r="F176" s="67"/>
      <c r="R176" s="67"/>
    </row>
    <row r="177" ht="15" customHeight="1" spans="5:18" x14ac:dyDescent="0.25">
      <c r="E177" s="67"/>
      <c r="F177" s="67"/>
      <c r="R177" s="67"/>
    </row>
    <row r="178" ht="15" customHeight="1" spans="5:18" x14ac:dyDescent="0.25">
      <c r="E178" s="67"/>
      <c r="F178" s="67"/>
      <c r="R178" s="67"/>
    </row>
    <row r="179" ht="15" customHeight="1" spans="5:18" x14ac:dyDescent="0.25">
      <c r="E179" s="67"/>
      <c r="F179" s="67"/>
      <c r="R179" s="67"/>
    </row>
    <row r="180" ht="15" customHeight="1" spans="5:18" x14ac:dyDescent="0.25">
      <c r="E180" s="67"/>
      <c r="F180" s="67"/>
      <c r="R180" s="67"/>
    </row>
    <row r="181" ht="15" customHeight="1" spans="5:18" x14ac:dyDescent="0.25">
      <c r="E181" s="67"/>
      <c r="F181" s="67"/>
      <c r="R181" s="67"/>
    </row>
    <row r="182" ht="15" customHeight="1" spans="5:18" x14ac:dyDescent="0.25">
      <c r="E182" s="67"/>
      <c r="F182" s="67"/>
      <c r="R182" s="67"/>
    </row>
    <row r="183" ht="15" customHeight="1" spans="5:18" x14ac:dyDescent="0.25">
      <c r="E183" s="67"/>
      <c r="F183" s="67"/>
      <c r="R183" s="67"/>
    </row>
    <row r="184" ht="15" customHeight="1" spans="5:18" x14ac:dyDescent="0.25">
      <c r="E184" s="67"/>
      <c r="F184" s="67"/>
      <c r="R184" s="67"/>
    </row>
    <row r="185" ht="15" customHeight="1" spans="5:18" x14ac:dyDescent="0.25">
      <c r="E185" s="67"/>
      <c r="F185" s="67"/>
      <c r="R185" s="67"/>
    </row>
    <row r="186" ht="15" customHeight="1" spans="5:18" x14ac:dyDescent="0.25">
      <c r="E186" s="67"/>
      <c r="F186" s="67"/>
      <c r="R186" s="67"/>
    </row>
    <row r="187" ht="15" customHeight="1" spans="5:18" x14ac:dyDescent="0.25">
      <c r="E187" s="67"/>
      <c r="F187" s="67"/>
      <c r="R187" s="67"/>
    </row>
    <row r="188" ht="15" customHeight="1" spans="5:18" x14ac:dyDescent="0.25">
      <c r="E188" s="67"/>
      <c r="F188" s="67"/>
      <c r="R188" s="67"/>
    </row>
    <row r="189" ht="15" customHeight="1" spans="5:18" x14ac:dyDescent="0.25">
      <c r="E189" s="67"/>
      <c r="F189" s="67"/>
      <c r="R189" s="67"/>
    </row>
    <row r="190" ht="15" customHeight="1" spans="5:18" x14ac:dyDescent="0.25">
      <c r="E190" s="67"/>
      <c r="F190" s="67"/>
      <c r="R190" s="67"/>
    </row>
    <row r="191" ht="15" customHeight="1" spans="5:18" x14ac:dyDescent="0.25">
      <c r="E191" s="67"/>
      <c r="F191" s="67"/>
      <c r="R191" s="67"/>
    </row>
    <row r="192" ht="15" customHeight="1" spans="5:18" x14ac:dyDescent="0.25">
      <c r="E192" s="67"/>
      <c r="F192" s="67"/>
      <c r="R192" s="67"/>
    </row>
    <row r="193" ht="15" customHeight="1" spans="5:18" x14ac:dyDescent="0.25">
      <c r="E193" s="67"/>
      <c r="F193" s="67"/>
      <c r="R193" s="67"/>
    </row>
    <row r="194" ht="15" customHeight="1" spans="5:18" x14ac:dyDescent="0.25">
      <c r="E194" s="67"/>
      <c r="F194" s="67"/>
      <c r="R194" s="67"/>
    </row>
    <row r="195" ht="15" customHeight="1" spans="5:18" x14ac:dyDescent="0.25">
      <c r="E195" s="67"/>
      <c r="F195" s="67"/>
      <c r="R195" s="67"/>
    </row>
    <row r="196" ht="15" customHeight="1" spans="5:18" x14ac:dyDescent="0.25">
      <c r="E196" s="67"/>
      <c r="F196" s="67"/>
      <c r="R196" s="67"/>
    </row>
    <row r="197" ht="15" customHeight="1" spans="5:18" x14ac:dyDescent="0.25">
      <c r="E197" s="67"/>
      <c r="F197" s="67"/>
      <c r="R197" s="67"/>
    </row>
    <row r="198" ht="15" customHeight="1" spans="5:18" x14ac:dyDescent="0.25">
      <c r="E198" s="67"/>
      <c r="F198" s="67"/>
      <c r="R198" s="67"/>
    </row>
    <row r="199" ht="15" customHeight="1" spans="5:18" x14ac:dyDescent="0.25">
      <c r="E199" s="67"/>
      <c r="F199" s="67"/>
      <c r="R199" s="67"/>
    </row>
    <row r="200" ht="15" customHeight="1" spans="5:18" x14ac:dyDescent="0.25">
      <c r="E200" s="67"/>
      <c r="F200" s="67"/>
      <c r="R200" s="67"/>
    </row>
    <row r="201" ht="15" customHeight="1" spans="5:18" x14ac:dyDescent="0.25">
      <c r="E201" s="67"/>
      <c r="F201" s="67"/>
      <c r="R201" s="67"/>
    </row>
    <row r="202" ht="15" customHeight="1" spans="5:18" x14ac:dyDescent="0.25">
      <c r="E202" s="67"/>
      <c r="F202" s="67"/>
      <c r="R202" s="67"/>
    </row>
    <row r="203" ht="15" customHeight="1" spans="5:18" x14ac:dyDescent="0.25">
      <c r="E203" s="67"/>
      <c r="F203" s="67"/>
      <c r="R203" s="67"/>
    </row>
    <row r="204" ht="15" customHeight="1" spans="5:18" x14ac:dyDescent="0.25">
      <c r="E204" s="67"/>
      <c r="F204" s="67"/>
      <c r="R204" s="67"/>
    </row>
    <row r="205" ht="15" customHeight="1" spans="5:18" x14ac:dyDescent="0.25">
      <c r="E205" s="67"/>
      <c r="F205" s="67"/>
      <c r="R205" s="67"/>
    </row>
    <row r="206" ht="15" customHeight="1" spans="5:18" x14ac:dyDescent="0.25">
      <c r="E206" s="67"/>
      <c r="F206" s="67"/>
      <c r="R206" s="67"/>
    </row>
    <row r="207" ht="15" customHeight="1" spans="5:18" x14ac:dyDescent="0.25">
      <c r="E207" s="67"/>
      <c r="F207" s="67"/>
      <c r="R207" s="67"/>
    </row>
    <row r="208" ht="15" customHeight="1" spans="5:18" x14ac:dyDescent="0.25">
      <c r="E208" s="67"/>
      <c r="F208" s="67"/>
      <c r="R208" s="67"/>
    </row>
    <row r="209" ht="15" customHeight="1" spans="5:18" x14ac:dyDescent="0.25">
      <c r="E209" s="67"/>
      <c r="F209" s="67"/>
      <c r="R209" s="67"/>
    </row>
    <row r="210" ht="15" customHeight="1" spans="5:18" x14ac:dyDescent="0.25">
      <c r="E210" s="67"/>
      <c r="F210" s="67"/>
      <c r="R210" s="67"/>
    </row>
    <row r="211" ht="15" customHeight="1" spans="5:18" x14ac:dyDescent="0.25">
      <c r="E211" s="67"/>
      <c r="F211" s="67"/>
      <c r="R211" s="67"/>
    </row>
    <row r="212" ht="15" customHeight="1" spans="5:18" x14ac:dyDescent="0.25">
      <c r="E212" s="67"/>
      <c r="F212" s="67"/>
      <c r="R212" s="67"/>
    </row>
    <row r="213" ht="15" customHeight="1" spans="5:18" x14ac:dyDescent="0.25">
      <c r="E213" s="67"/>
      <c r="F213" s="67"/>
      <c r="R213" s="67"/>
    </row>
    <row r="214" ht="15" customHeight="1" spans="5:18" x14ac:dyDescent="0.25">
      <c r="E214" s="67"/>
      <c r="F214" s="67"/>
      <c r="R214" s="67"/>
    </row>
    <row r="215" ht="15" customHeight="1" spans="5:18" x14ac:dyDescent="0.25">
      <c r="E215" s="67"/>
      <c r="F215" s="67"/>
      <c r="R215" s="67"/>
    </row>
    <row r="216" ht="15" customHeight="1" spans="5:18" x14ac:dyDescent="0.25">
      <c r="E216" s="67"/>
      <c r="F216" s="67"/>
      <c r="R216" s="67"/>
    </row>
    <row r="217" ht="15" customHeight="1" spans="5:18" x14ac:dyDescent="0.25">
      <c r="E217" s="67"/>
      <c r="F217" s="67"/>
      <c r="R217" s="67"/>
    </row>
    <row r="218" ht="15" customHeight="1" spans="5:18" x14ac:dyDescent="0.25">
      <c r="E218" s="67"/>
      <c r="F218" s="67"/>
      <c r="R218" s="67"/>
    </row>
    <row r="219" ht="15" customHeight="1" spans="5:18" x14ac:dyDescent="0.25">
      <c r="E219" s="67"/>
      <c r="F219" s="67"/>
      <c r="R219" s="67"/>
    </row>
    <row r="220" ht="15" customHeight="1" spans="5:18" x14ac:dyDescent="0.25">
      <c r="E220" s="67"/>
      <c r="F220" s="67"/>
      <c r="R220" s="67"/>
    </row>
    <row r="221" ht="15" customHeight="1" spans="5:18" x14ac:dyDescent="0.25">
      <c r="E221" s="67"/>
      <c r="F221" s="67"/>
      <c r="R221" s="67"/>
    </row>
    <row r="222" ht="15" customHeight="1" spans="5:18" x14ac:dyDescent="0.25">
      <c r="E222" s="67"/>
      <c r="F222" s="67"/>
      <c r="R222" s="67"/>
    </row>
    <row r="223" ht="15" customHeight="1" spans="5:18" x14ac:dyDescent="0.25">
      <c r="E223" s="67"/>
      <c r="F223" s="67"/>
      <c r="R223" s="67"/>
    </row>
    <row r="224" ht="15" customHeight="1" spans="5:18" x14ac:dyDescent="0.25">
      <c r="E224" s="67"/>
      <c r="F224" s="67"/>
      <c r="R224" s="67"/>
    </row>
    <row r="225" ht="15" customHeight="1" spans="5:18" x14ac:dyDescent="0.25">
      <c r="E225" s="67"/>
      <c r="F225" s="67"/>
      <c r="R225" s="67"/>
    </row>
    <row r="226" ht="15" customHeight="1" spans="5:18" x14ac:dyDescent="0.25">
      <c r="E226" s="67"/>
      <c r="F226" s="67"/>
      <c r="R226" s="67"/>
    </row>
    <row r="227" ht="15" customHeight="1" spans="5:18" x14ac:dyDescent="0.25">
      <c r="E227" s="67"/>
      <c r="F227" s="67"/>
      <c r="R227" s="67"/>
    </row>
    <row r="228" ht="15" customHeight="1" spans="5:18" x14ac:dyDescent="0.25">
      <c r="E228" s="67"/>
      <c r="F228" s="67"/>
      <c r="R228" s="67"/>
    </row>
    <row r="229" ht="15" customHeight="1" spans="5:18" x14ac:dyDescent="0.25">
      <c r="E229" s="67"/>
      <c r="F229" s="67"/>
      <c r="R229" s="67"/>
    </row>
    <row r="230" ht="15" customHeight="1" spans="5:18" x14ac:dyDescent="0.25">
      <c r="E230" s="67"/>
      <c r="F230" s="67"/>
      <c r="R230" s="67"/>
    </row>
    <row r="231" ht="15" customHeight="1" spans="5:18" x14ac:dyDescent="0.25">
      <c r="E231" s="67"/>
      <c r="F231" s="67"/>
      <c r="R231" s="67"/>
    </row>
    <row r="232" ht="15" customHeight="1" spans="5:18" x14ac:dyDescent="0.25">
      <c r="E232" s="67"/>
      <c r="F232" s="67"/>
      <c r="R232" s="67"/>
    </row>
    <row r="233" ht="15" customHeight="1" spans="5:18" x14ac:dyDescent="0.25">
      <c r="E233" s="67"/>
      <c r="F233" s="67"/>
      <c r="R233" s="67"/>
    </row>
    <row r="234" ht="15" customHeight="1" spans="5:18" x14ac:dyDescent="0.25">
      <c r="E234" s="67"/>
      <c r="F234" s="67"/>
      <c r="R234" s="67"/>
    </row>
    <row r="235" ht="15" customHeight="1" spans="5:18" x14ac:dyDescent="0.25">
      <c r="E235" s="67"/>
      <c r="F235" s="67"/>
      <c r="R235" s="67"/>
    </row>
    <row r="236" ht="15" customHeight="1" spans="5:18" x14ac:dyDescent="0.25">
      <c r="E236" s="67"/>
      <c r="F236" s="67"/>
      <c r="R236" s="67"/>
    </row>
    <row r="237" ht="15" customHeight="1" spans="5:18" x14ac:dyDescent="0.25">
      <c r="E237" s="67"/>
      <c r="F237" s="67"/>
      <c r="R237" s="67"/>
    </row>
    <row r="238" ht="15" customHeight="1" spans="5:18" x14ac:dyDescent="0.25">
      <c r="E238" s="67"/>
      <c r="F238" s="67"/>
      <c r="R238" s="67"/>
    </row>
    <row r="239" ht="15" customHeight="1" spans="5:18" x14ac:dyDescent="0.25">
      <c r="E239" s="67"/>
      <c r="F239" s="67"/>
      <c r="R239" s="67"/>
    </row>
    <row r="240" ht="15" customHeight="1" spans="5:18" x14ac:dyDescent="0.25">
      <c r="E240" s="67"/>
      <c r="F240" s="67"/>
      <c r="R240" s="67"/>
    </row>
    <row r="241" ht="15" customHeight="1" spans="5:18" x14ac:dyDescent="0.25">
      <c r="E241" s="67"/>
      <c r="F241" s="67"/>
      <c r="R241" s="67"/>
    </row>
    <row r="242" ht="15" customHeight="1" spans="5:18" x14ac:dyDescent="0.25">
      <c r="E242" s="67"/>
      <c r="F242" s="67"/>
      <c r="R242" s="67"/>
    </row>
    <row r="243" ht="15" customHeight="1" spans="5:18" x14ac:dyDescent="0.25">
      <c r="E243" s="67"/>
      <c r="F243" s="67"/>
      <c r="R243" s="67"/>
    </row>
    <row r="244" ht="15" customHeight="1" spans="5:18" x14ac:dyDescent="0.25">
      <c r="E244" s="67"/>
      <c r="F244" s="67"/>
      <c r="R244" s="67"/>
    </row>
    <row r="245" ht="15" customHeight="1" spans="5:18" x14ac:dyDescent="0.25">
      <c r="E245" s="67"/>
      <c r="F245" s="67"/>
      <c r="R245" s="67"/>
    </row>
    <row r="246" ht="15" customHeight="1" spans="5:18" x14ac:dyDescent="0.25">
      <c r="E246" s="67"/>
      <c r="F246" s="67"/>
      <c r="R246" s="67"/>
    </row>
    <row r="247" ht="15" customHeight="1" spans="5:18" x14ac:dyDescent="0.25">
      <c r="E247" s="67"/>
      <c r="F247" s="67"/>
      <c r="R247" s="67"/>
    </row>
    <row r="248" ht="15" customHeight="1" spans="5:18" x14ac:dyDescent="0.25">
      <c r="E248" s="67"/>
      <c r="F248" s="67"/>
      <c r="R248" s="67"/>
    </row>
    <row r="249" ht="15" customHeight="1" spans="5:18" x14ac:dyDescent="0.25">
      <c r="E249" s="67"/>
      <c r="F249" s="67"/>
      <c r="R249" s="67"/>
    </row>
    <row r="250" ht="15" customHeight="1" spans="5:18" x14ac:dyDescent="0.25">
      <c r="E250" s="67"/>
      <c r="F250" s="67"/>
      <c r="R250" s="67"/>
    </row>
    <row r="251" ht="15" customHeight="1" spans="5:18" x14ac:dyDescent="0.25">
      <c r="E251" s="67"/>
      <c r="F251" s="67"/>
      <c r="R251" s="67"/>
    </row>
    <row r="252" ht="15" customHeight="1" spans="5:18" x14ac:dyDescent="0.25">
      <c r="E252" s="67"/>
      <c r="F252" s="67"/>
      <c r="R252" s="67"/>
    </row>
    <row r="253" ht="15" customHeight="1" spans="5:18" x14ac:dyDescent="0.25">
      <c r="E253" s="67"/>
      <c r="F253" s="67"/>
      <c r="R253" s="67"/>
    </row>
    <row r="254" ht="15" customHeight="1" spans="5:18" x14ac:dyDescent="0.25">
      <c r="E254" s="67"/>
      <c r="F254" s="67"/>
      <c r="R254" s="67"/>
    </row>
    <row r="255" ht="15" customHeight="1" spans="5:18" x14ac:dyDescent="0.25">
      <c r="E255" s="67"/>
      <c r="F255" s="67"/>
      <c r="R255" s="67"/>
    </row>
    <row r="256" ht="15" customHeight="1" spans="5:18" x14ac:dyDescent="0.25">
      <c r="E256" s="67"/>
      <c r="F256" s="67"/>
      <c r="R256" s="67"/>
    </row>
    <row r="257" ht="15" customHeight="1" spans="5:18" x14ac:dyDescent="0.25">
      <c r="E257" s="67"/>
      <c r="F257" s="67"/>
      <c r="R257" s="67"/>
    </row>
    <row r="258" ht="15" customHeight="1" spans="5:18" x14ac:dyDescent="0.25">
      <c r="E258" s="67"/>
      <c r="F258" s="67"/>
      <c r="R258" s="67"/>
    </row>
    <row r="259" ht="15" customHeight="1" spans="5:18" x14ac:dyDescent="0.25">
      <c r="E259" s="67"/>
      <c r="F259" s="67"/>
      <c r="R259" s="67"/>
    </row>
    <row r="260" ht="15" customHeight="1" spans="5:18" x14ac:dyDescent="0.25">
      <c r="E260" s="67"/>
      <c r="F260" s="67"/>
      <c r="R260" s="67"/>
    </row>
    <row r="261" ht="15" customHeight="1" spans="5:18" x14ac:dyDescent="0.25">
      <c r="E261" s="67"/>
      <c r="F261" s="67"/>
      <c r="R261" s="67"/>
    </row>
    <row r="262" ht="15" customHeight="1" spans="5:18" x14ac:dyDescent="0.25">
      <c r="E262" s="67"/>
      <c r="F262" s="67"/>
      <c r="R262" s="67"/>
    </row>
    <row r="263" ht="15" customHeight="1" spans="5:18" x14ac:dyDescent="0.25">
      <c r="E263" s="67"/>
      <c r="F263" s="67"/>
      <c r="R263" s="67"/>
    </row>
    <row r="264" ht="15" customHeight="1" spans="5:18" x14ac:dyDescent="0.25">
      <c r="E264" s="67"/>
      <c r="F264" s="67"/>
      <c r="R264" s="67"/>
    </row>
    <row r="265" ht="15" customHeight="1" spans="5:18" x14ac:dyDescent="0.25">
      <c r="E265" s="67"/>
      <c r="F265" s="67"/>
      <c r="R265" s="67"/>
    </row>
    <row r="266" ht="15" customHeight="1" spans="5:18" x14ac:dyDescent="0.25">
      <c r="E266" s="67"/>
      <c r="F266" s="67"/>
      <c r="R266" s="67"/>
    </row>
    <row r="267" ht="15" customHeight="1" spans="5:18" x14ac:dyDescent="0.25">
      <c r="E267" s="67"/>
      <c r="F267" s="67"/>
      <c r="R267" s="67"/>
    </row>
    <row r="268" ht="15" customHeight="1" spans="5:18" x14ac:dyDescent="0.25">
      <c r="E268" s="67"/>
      <c r="F268" s="67"/>
      <c r="R268" s="67"/>
    </row>
    <row r="269" ht="15" customHeight="1" spans="5:18" x14ac:dyDescent="0.25">
      <c r="E269" s="67"/>
      <c r="F269" s="67"/>
      <c r="R269" s="67"/>
    </row>
    <row r="270" ht="15" customHeight="1" spans="5:18" x14ac:dyDescent="0.25">
      <c r="E270" s="67"/>
      <c r="F270" s="67"/>
      <c r="R270" s="67"/>
    </row>
    <row r="271" ht="15" customHeight="1" spans="5:18" x14ac:dyDescent="0.25">
      <c r="E271" s="67"/>
      <c r="F271" s="67"/>
      <c r="R271" s="67"/>
    </row>
    <row r="272" ht="15" customHeight="1" spans="5:18" x14ac:dyDescent="0.25">
      <c r="E272" s="67"/>
      <c r="F272" s="67"/>
      <c r="R272" s="67"/>
    </row>
    <row r="273" ht="15" customHeight="1" spans="5:18" x14ac:dyDescent="0.25">
      <c r="E273" s="67"/>
      <c r="F273" s="67"/>
      <c r="R273" s="67"/>
    </row>
    <row r="274" ht="15" customHeight="1" spans="5:18" x14ac:dyDescent="0.25">
      <c r="E274" s="67"/>
      <c r="F274" s="67"/>
      <c r="R274" s="67"/>
    </row>
    <row r="275" ht="15" customHeight="1" spans="5:18" x14ac:dyDescent="0.25">
      <c r="E275" s="67"/>
      <c r="F275" s="67"/>
      <c r="R275" s="67"/>
    </row>
    <row r="276" ht="15" customHeight="1" spans="5:18" x14ac:dyDescent="0.25">
      <c r="E276" s="67"/>
      <c r="F276" s="67"/>
      <c r="R276" s="67"/>
    </row>
    <row r="277" ht="15" customHeight="1" spans="5:18" x14ac:dyDescent="0.25">
      <c r="E277" s="67"/>
      <c r="F277" s="67"/>
      <c r="R277" s="67"/>
    </row>
    <row r="278" ht="15" customHeight="1" spans="5:18" x14ac:dyDescent="0.25">
      <c r="E278" s="67"/>
      <c r="F278" s="67"/>
      <c r="R278" s="67"/>
    </row>
    <row r="279" ht="15" customHeight="1" spans="5:18" x14ac:dyDescent="0.25">
      <c r="E279" s="67"/>
      <c r="F279" s="67"/>
      <c r="R279" s="67"/>
    </row>
    <row r="280" ht="15" customHeight="1" spans="5:18" x14ac:dyDescent="0.25">
      <c r="E280" s="67"/>
      <c r="F280" s="67"/>
      <c r="R280" s="67"/>
    </row>
    <row r="281" ht="15" customHeight="1" spans="5:18" x14ac:dyDescent="0.25">
      <c r="E281" s="67"/>
      <c r="F281" s="67"/>
      <c r="R281" s="67"/>
    </row>
    <row r="282" ht="15" customHeight="1" spans="5:18" x14ac:dyDescent="0.25">
      <c r="E282" s="67"/>
      <c r="F282" s="67"/>
      <c r="R282" s="67"/>
    </row>
    <row r="283" ht="15" customHeight="1" spans="5:18" x14ac:dyDescent="0.25">
      <c r="E283" s="67"/>
      <c r="F283" s="67"/>
      <c r="R283" s="67"/>
    </row>
    <row r="284" ht="15" customHeight="1" spans="5:18" x14ac:dyDescent="0.25">
      <c r="E284" s="67"/>
      <c r="F284" s="67"/>
      <c r="R284" s="67"/>
    </row>
    <row r="285" ht="15" customHeight="1" spans="5:18" x14ac:dyDescent="0.25">
      <c r="E285" s="67"/>
      <c r="F285" s="67"/>
      <c r="R285" s="67"/>
    </row>
    <row r="286" ht="15" customHeight="1" spans="5:18" x14ac:dyDescent="0.25">
      <c r="E286" s="67"/>
      <c r="F286" s="67"/>
      <c r="R286" s="67"/>
    </row>
    <row r="287" ht="15" customHeight="1" spans="5:18" x14ac:dyDescent="0.25">
      <c r="E287" s="67"/>
      <c r="F287" s="67"/>
      <c r="R287" s="67"/>
    </row>
    <row r="288" ht="15" customHeight="1" spans="5:18" x14ac:dyDescent="0.25">
      <c r="E288" s="67"/>
      <c r="F288" s="67"/>
      <c r="R288" s="67"/>
    </row>
    <row r="289" ht="15" customHeight="1" spans="5:18" x14ac:dyDescent="0.25">
      <c r="E289" s="67"/>
      <c r="F289" s="67"/>
      <c r="R289" s="67"/>
    </row>
    <row r="290" ht="15" customHeight="1" spans="5:18" x14ac:dyDescent="0.25">
      <c r="E290" s="67"/>
      <c r="F290" s="67"/>
      <c r="R290" s="67"/>
    </row>
    <row r="291" ht="15" customHeight="1" spans="5:18" x14ac:dyDescent="0.25">
      <c r="E291" s="67"/>
      <c r="F291" s="67"/>
      <c r="R291" s="67"/>
    </row>
    <row r="292" ht="15" customHeight="1" spans="5:18" x14ac:dyDescent="0.25">
      <c r="E292" s="67"/>
      <c r="F292" s="67"/>
      <c r="R292" s="67"/>
    </row>
    <row r="293" ht="15" customHeight="1" spans="5:18" x14ac:dyDescent="0.25">
      <c r="E293" s="67"/>
      <c r="F293" s="67"/>
      <c r="R293" s="67"/>
    </row>
    <row r="294" ht="15" customHeight="1" spans="5:18" x14ac:dyDescent="0.25">
      <c r="E294" s="67"/>
      <c r="F294" s="67"/>
      <c r="R294" s="67"/>
    </row>
    <row r="295" ht="15" customHeight="1" spans="5:18" x14ac:dyDescent="0.25">
      <c r="E295" s="67"/>
      <c r="F295" s="67"/>
      <c r="R295" s="67"/>
    </row>
    <row r="296" ht="15" customHeight="1" spans="5:18" x14ac:dyDescent="0.25">
      <c r="E296" s="67"/>
      <c r="F296" s="67"/>
      <c r="R296" s="67"/>
    </row>
    <row r="297" ht="15" customHeight="1" spans="5:18" x14ac:dyDescent="0.25">
      <c r="E297" s="67"/>
      <c r="F297" s="67"/>
      <c r="R297" s="67"/>
    </row>
    <row r="298" ht="15" customHeight="1" spans="5:18" x14ac:dyDescent="0.25">
      <c r="E298" s="67"/>
      <c r="F298" s="67"/>
      <c r="R298" s="67"/>
    </row>
    <row r="299" ht="15" customHeight="1" spans="5:18" x14ac:dyDescent="0.25">
      <c r="E299" s="67"/>
      <c r="F299" s="67"/>
      <c r="R299" s="67"/>
    </row>
    <row r="300" ht="15" customHeight="1" spans="5:18" x14ac:dyDescent="0.25">
      <c r="E300" s="67"/>
      <c r="F300" s="67"/>
      <c r="R300" s="67"/>
    </row>
    <row r="301" ht="15" customHeight="1" spans="5:18" x14ac:dyDescent="0.25">
      <c r="E301" s="67"/>
      <c r="F301" s="67"/>
      <c r="R301" s="67"/>
    </row>
    <row r="302" ht="15" customHeight="1" spans="5:18" x14ac:dyDescent="0.25">
      <c r="E302" s="67"/>
      <c r="F302" s="67"/>
      <c r="R302" s="67"/>
    </row>
    <row r="303" ht="15" customHeight="1" spans="5:18" x14ac:dyDescent="0.25">
      <c r="E303" s="67"/>
      <c r="F303" s="67"/>
      <c r="R303" s="67"/>
    </row>
    <row r="304" ht="15" customHeight="1" spans="5:18" x14ac:dyDescent="0.25">
      <c r="E304" s="67"/>
      <c r="F304" s="67"/>
      <c r="R304" s="67"/>
    </row>
    <row r="305" ht="15" customHeight="1" spans="5:18" x14ac:dyDescent="0.25">
      <c r="E305" s="67"/>
      <c r="F305" s="67"/>
      <c r="R305" s="67"/>
    </row>
    <row r="306" ht="15" customHeight="1" spans="5:18" x14ac:dyDescent="0.25">
      <c r="E306" s="67"/>
      <c r="F306" s="67"/>
      <c r="R306" s="67"/>
    </row>
    <row r="307" ht="15" customHeight="1" spans="5:18" x14ac:dyDescent="0.25">
      <c r="E307" s="67"/>
      <c r="F307" s="67"/>
      <c r="R307" s="67"/>
    </row>
    <row r="308" ht="15" customHeight="1" spans="5:18" x14ac:dyDescent="0.25">
      <c r="E308" s="67"/>
      <c r="F308" s="67"/>
      <c r="R308" s="67"/>
    </row>
    <row r="309" ht="15" customHeight="1" spans="5:18" x14ac:dyDescent="0.25">
      <c r="E309" s="67"/>
      <c r="F309" s="67"/>
      <c r="R309" s="67"/>
    </row>
    <row r="310" ht="15" customHeight="1" spans="5:18" x14ac:dyDescent="0.25">
      <c r="E310" s="67"/>
      <c r="F310" s="67"/>
      <c r="R310" s="67"/>
    </row>
    <row r="311" ht="15" customHeight="1" spans="5:18" x14ac:dyDescent="0.25">
      <c r="E311" s="67"/>
      <c r="F311" s="67"/>
      <c r="R311" s="67"/>
    </row>
    <row r="312" ht="15" customHeight="1" spans="5:18" x14ac:dyDescent="0.25">
      <c r="E312" s="67"/>
      <c r="F312" s="67"/>
      <c r="R312" s="67"/>
    </row>
    <row r="313" ht="15" customHeight="1" spans="5:18" x14ac:dyDescent="0.25">
      <c r="E313" s="67"/>
      <c r="F313" s="67"/>
      <c r="R313" s="67"/>
    </row>
    <row r="314" ht="15" customHeight="1" spans="5:18" x14ac:dyDescent="0.25">
      <c r="E314" s="67"/>
      <c r="F314" s="67"/>
      <c r="R314" s="67"/>
    </row>
    <row r="315" ht="15" customHeight="1" spans="5:18" x14ac:dyDescent="0.25">
      <c r="E315" s="67"/>
      <c r="F315" s="67"/>
      <c r="R315" s="67"/>
    </row>
    <row r="316" ht="15" customHeight="1" spans="5:18" x14ac:dyDescent="0.25">
      <c r="E316" s="67"/>
      <c r="F316" s="67"/>
      <c r="R316" s="67"/>
    </row>
    <row r="317" ht="15" customHeight="1" spans="5:18" x14ac:dyDescent="0.25">
      <c r="E317" s="67"/>
      <c r="F317" s="67"/>
      <c r="R317" s="67"/>
    </row>
    <row r="318" ht="15" customHeight="1" spans="5:18" x14ac:dyDescent="0.25">
      <c r="E318" s="67"/>
      <c r="F318" s="67"/>
      <c r="R318" s="67"/>
    </row>
    <row r="319" ht="15" customHeight="1" spans="5:18" x14ac:dyDescent="0.25">
      <c r="E319" s="67"/>
      <c r="F319" s="67"/>
      <c r="R319" s="67"/>
    </row>
    <row r="320" ht="15" customHeight="1" spans="5:18" x14ac:dyDescent="0.25">
      <c r="E320" s="67"/>
      <c r="F320" s="67"/>
      <c r="R320" s="67"/>
    </row>
    <row r="321" ht="15" customHeight="1" spans="5:18" x14ac:dyDescent="0.25">
      <c r="E321" s="67"/>
      <c r="F321" s="67"/>
      <c r="R321" s="67"/>
    </row>
    <row r="322" ht="15" customHeight="1" spans="5:18" x14ac:dyDescent="0.25">
      <c r="E322" s="67"/>
      <c r="F322" s="67"/>
      <c r="R322" s="67"/>
    </row>
    <row r="323" ht="15" customHeight="1" spans="5:18" x14ac:dyDescent="0.25">
      <c r="E323" s="67"/>
      <c r="F323" s="67"/>
      <c r="R323" s="67"/>
    </row>
    <row r="324" ht="15" customHeight="1" spans="5:18" x14ac:dyDescent="0.25">
      <c r="E324" s="67"/>
      <c r="F324" s="67"/>
      <c r="R324" s="67"/>
    </row>
    <row r="325" ht="15" customHeight="1" spans="5:18" x14ac:dyDescent="0.25">
      <c r="E325" s="67"/>
      <c r="F325" s="67"/>
      <c r="R325" s="67"/>
    </row>
    <row r="326" ht="15" customHeight="1" spans="5:18" x14ac:dyDescent="0.25">
      <c r="E326" s="67"/>
      <c r="F326" s="67"/>
      <c r="R326" s="67"/>
    </row>
    <row r="327" ht="15" customHeight="1" spans="5:18" x14ac:dyDescent="0.25">
      <c r="E327" s="67"/>
      <c r="F327" s="67"/>
      <c r="R327" s="67"/>
    </row>
    <row r="328" ht="15" customHeight="1" spans="5:18" x14ac:dyDescent="0.25">
      <c r="E328" s="67"/>
      <c r="F328" s="67"/>
      <c r="R328" s="67"/>
    </row>
    <row r="329" ht="15" customHeight="1" spans="5:18" x14ac:dyDescent="0.25">
      <c r="E329" s="67"/>
      <c r="F329" s="67"/>
      <c r="R329" s="67"/>
    </row>
    <row r="330" ht="15" customHeight="1" spans="5:18" x14ac:dyDescent="0.25">
      <c r="E330" s="67"/>
      <c r="F330" s="67"/>
      <c r="R330" s="67"/>
    </row>
    <row r="331" ht="15" customHeight="1" spans="5:18" x14ac:dyDescent="0.25">
      <c r="E331" s="67"/>
      <c r="F331" s="67"/>
      <c r="R331" s="67"/>
    </row>
    <row r="332" ht="15" customHeight="1" spans="5:18" x14ac:dyDescent="0.25">
      <c r="E332" s="67"/>
      <c r="F332" s="67"/>
      <c r="R332" s="67"/>
    </row>
    <row r="333" ht="15" customHeight="1" spans="5:18" x14ac:dyDescent="0.25">
      <c r="E333" s="67"/>
      <c r="F333" s="67"/>
      <c r="R333" s="67"/>
    </row>
    <row r="334" ht="15" customHeight="1" spans="5:18" x14ac:dyDescent="0.25">
      <c r="E334" s="67"/>
      <c r="F334" s="67"/>
      <c r="R334" s="67"/>
    </row>
    <row r="335" ht="15" customHeight="1" spans="5:18" x14ac:dyDescent="0.25">
      <c r="E335" s="67"/>
      <c r="F335" s="67"/>
      <c r="R335" s="67"/>
    </row>
    <row r="336" ht="15" customHeight="1" spans="5:18" x14ac:dyDescent="0.25">
      <c r="E336" s="67"/>
      <c r="F336" s="67"/>
      <c r="R336" s="67"/>
    </row>
    <row r="337" ht="15" customHeight="1" spans="5:18" x14ac:dyDescent="0.25">
      <c r="E337" s="67"/>
      <c r="F337" s="67"/>
      <c r="R337" s="67"/>
    </row>
    <row r="338" ht="15" customHeight="1" spans="5:18" x14ac:dyDescent="0.25">
      <c r="E338" s="67"/>
      <c r="F338" s="67"/>
      <c r="R338" s="67"/>
    </row>
    <row r="339" ht="15" customHeight="1" spans="5:18" x14ac:dyDescent="0.25">
      <c r="E339" s="67"/>
      <c r="F339" s="67"/>
      <c r="R339" s="67"/>
    </row>
    <row r="340" ht="15" customHeight="1" spans="5:18" x14ac:dyDescent="0.25">
      <c r="E340" s="67"/>
      <c r="F340" s="67"/>
      <c r="R340" s="67"/>
    </row>
    <row r="341" ht="15" customHeight="1" spans="5:18" x14ac:dyDescent="0.25">
      <c r="E341" s="67"/>
      <c r="F341" s="67"/>
      <c r="R341" s="67"/>
    </row>
    <row r="342" ht="15" customHeight="1" spans="5:18" x14ac:dyDescent="0.25">
      <c r="E342" s="67"/>
      <c r="F342" s="67"/>
      <c r="R342" s="67"/>
    </row>
    <row r="343" ht="15" customHeight="1" spans="5:18" x14ac:dyDescent="0.25">
      <c r="E343" s="67"/>
      <c r="F343" s="67"/>
      <c r="R343" s="67"/>
    </row>
    <row r="344" ht="15" customHeight="1" spans="5:18" x14ac:dyDescent="0.25">
      <c r="E344" s="67"/>
      <c r="F344" s="67"/>
      <c r="R344" s="67"/>
    </row>
    <row r="345" ht="15" customHeight="1" spans="5:18" x14ac:dyDescent="0.25">
      <c r="E345" s="67"/>
      <c r="F345" s="67"/>
      <c r="R345" s="67"/>
    </row>
    <row r="346" ht="15" customHeight="1" spans="5:18" x14ac:dyDescent="0.25">
      <c r="E346" s="67"/>
      <c r="F346" s="67"/>
      <c r="R346" s="67"/>
    </row>
    <row r="347" ht="15" customHeight="1" spans="5:18" x14ac:dyDescent="0.25">
      <c r="E347" s="67"/>
      <c r="F347" s="67"/>
      <c r="R347" s="67"/>
    </row>
    <row r="348" ht="15" customHeight="1" spans="5:18" x14ac:dyDescent="0.25">
      <c r="E348" s="67"/>
      <c r="F348" s="67"/>
      <c r="R348" s="67"/>
    </row>
    <row r="349" ht="15" customHeight="1" spans="5:18" x14ac:dyDescent="0.25">
      <c r="E349" s="67"/>
      <c r="F349" s="67"/>
      <c r="R349" s="67"/>
    </row>
    <row r="350" ht="15" customHeight="1" spans="5:18" x14ac:dyDescent="0.25">
      <c r="E350" s="67"/>
      <c r="F350" s="67"/>
      <c r="R350" s="67"/>
    </row>
    <row r="351" ht="15" customHeight="1" spans="5:18" x14ac:dyDescent="0.25">
      <c r="E351" s="67"/>
      <c r="F351" s="67"/>
      <c r="R351" s="67"/>
    </row>
    <row r="352" ht="15" customHeight="1" spans="5:18" x14ac:dyDescent="0.25">
      <c r="E352" s="67"/>
      <c r="F352" s="67"/>
      <c r="R352" s="67"/>
    </row>
    <row r="353" ht="15" customHeight="1" spans="5:18" x14ac:dyDescent="0.25">
      <c r="E353" s="67"/>
      <c r="F353" s="67"/>
      <c r="R353" s="67"/>
    </row>
    <row r="354" ht="15" customHeight="1" spans="5:18" x14ac:dyDescent="0.25">
      <c r="E354" s="67"/>
      <c r="F354" s="67"/>
      <c r="R354" s="67"/>
    </row>
    <row r="355" ht="15" customHeight="1" spans="5:18" x14ac:dyDescent="0.25">
      <c r="E355" s="67"/>
      <c r="F355" s="67"/>
      <c r="R355" s="67"/>
    </row>
    <row r="356" ht="15" customHeight="1" spans="5:18" x14ac:dyDescent="0.25">
      <c r="E356" s="67"/>
      <c r="F356" s="67"/>
      <c r="R356" s="67"/>
    </row>
    <row r="357" ht="15" customHeight="1" spans="5:18" x14ac:dyDescent="0.25">
      <c r="E357" s="67"/>
      <c r="F357" s="67"/>
      <c r="R357" s="67"/>
    </row>
  </sheetData>
  <pageMargins left="0.7" right="0.7" top="0.75" bottom="0.75" header="0.3" footer="0.3"/>
  <pageSetup paperSize="9" orientation="portrait" horizontalDpi="4294967295" verticalDpi="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C55"/>
  <sheetViews>
    <sheetView workbookViewId="0" zoomScale="115" zoomScaleNormal="115">
      <selection activeCell="B56" sqref="B56"/>
    </sheetView>
  </sheetViews>
  <sheetFormatPr defaultRowHeight="20.1" outlineLevelRow="0" outlineLevelCol="0" x14ac:dyDescent="0" customHeight="1"/>
  <cols>
    <col min="1" max="1" width="10" customWidth="1"/>
    <col min="2" max="2" width="46.5" customWidth="1"/>
    <col min="3" max="3" width="14.625" customWidth="1"/>
  </cols>
  <sheetData>
    <row r="1" ht="20.1" customHeight="1" spans="1:3" x14ac:dyDescent="0.25">
      <c r="A1" s="50" t="s">
        <v>4</v>
      </c>
      <c r="B1" s="50" t="s">
        <v>9</v>
      </c>
      <c r="C1" s="50" t="s">
        <v>45</v>
      </c>
    </row>
    <row r="2" ht="20.1" customHeight="1" spans="1:3" x14ac:dyDescent="0.25">
      <c r="A2" s="51" t="s">
        <v>24</v>
      </c>
      <c r="B2" s="51" t="s">
        <v>46</v>
      </c>
      <c r="C2" s="51" t="s">
        <v>47</v>
      </c>
    </row>
    <row r="3" ht="20.1" customHeight="1" spans="1:3" x14ac:dyDescent="0.25">
      <c r="A3" s="51" t="s">
        <v>30</v>
      </c>
      <c r="B3" s="51" t="s">
        <v>48</v>
      </c>
      <c r="C3" s="51" t="s">
        <v>49</v>
      </c>
    </row>
    <row r="4" ht="20.1" customHeight="1" spans="1:3" x14ac:dyDescent="0.25">
      <c r="A4" s="51" t="s">
        <v>50</v>
      </c>
      <c r="B4" s="51" t="s">
        <v>51</v>
      </c>
      <c r="C4" s="51" t="s">
        <v>52</v>
      </c>
    </row>
    <row r="5" ht="20.1" customHeight="1" spans="1:3" x14ac:dyDescent="0.25">
      <c r="A5" s="51" t="s">
        <v>29</v>
      </c>
      <c r="B5" s="51" t="s">
        <v>53</v>
      </c>
      <c r="C5" s="51" t="s">
        <v>54</v>
      </c>
    </row>
    <row r="6" ht="20.1" customHeight="1" spans="1:3" x14ac:dyDescent="0.25">
      <c r="A6" s="51" t="s">
        <v>55</v>
      </c>
      <c r="B6" s="51" t="s">
        <v>56</v>
      </c>
      <c r="C6" s="51" t="s">
        <v>57</v>
      </c>
    </row>
    <row r="7" ht="20.1" customHeight="1" spans="1:3" x14ac:dyDescent="0.25">
      <c r="A7" s="51" t="s">
        <v>58</v>
      </c>
      <c r="B7" s="51" t="s">
        <v>59</v>
      </c>
      <c r="C7" s="51" t="s">
        <v>60</v>
      </c>
    </row>
    <row r="8" ht="20.1" customHeight="1" spans="1:3" x14ac:dyDescent="0.25">
      <c r="A8" s="51" t="s">
        <v>61</v>
      </c>
      <c r="B8" s="51" t="s">
        <v>62</v>
      </c>
      <c r="C8" s="51" t="s">
        <v>63</v>
      </c>
    </row>
    <row r="9" ht="20.1" customHeight="1" spans="1:3" x14ac:dyDescent="0.25">
      <c r="A9" s="51" t="s">
        <v>64</v>
      </c>
      <c r="B9" s="51" t="s">
        <v>65</v>
      </c>
      <c r="C9" s="51" t="s">
        <v>66</v>
      </c>
    </row>
    <row r="10" ht="20.1" customHeight="1" spans="1:3" x14ac:dyDescent="0.25">
      <c r="A10" s="51" t="s">
        <v>26</v>
      </c>
      <c r="B10" s="51" t="s">
        <v>67</v>
      </c>
      <c r="C10" s="51" t="s">
        <v>68</v>
      </c>
    </row>
    <row r="11" ht="20.1" customHeight="1" spans="1:3" x14ac:dyDescent="0.25">
      <c r="A11" s="51" t="s">
        <v>69</v>
      </c>
      <c r="B11" s="51" t="s">
        <v>70</v>
      </c>
      <c r="C11" s="51" t="s">
        <v>71</v>
      </c>
    </row>
    <row r="12" ht="20.1" customHeight="1" spans="1:3" x14ac:dyDescent="0.25">
      <c r="A12" s="51" t="s">
        <v>72</v>
      </c>
      <c r="B12" s="51" t="s">
        <v>73</v>
      </c>
      <c r="C12" s="51" t="s">
        <v>74</v>
      </c>
    </row>
    <row r="13" ht="20.1" customHeight="1" spans="1:3" x14ac:dyDescent="0.25">
      <c r="A13" s="51" t="s">
        <v>75</v>
      </c>
      <c r="B13" s="51" t="s">
        <v>76</v>
      </c>
      <c r="C13" s="51" t="s">
        <v>77</v>
      </c>
    </row>
    <row r="14" ht="20.1" customHeight="1" spans="1:3" x14ac:dyDescent="0.25">
      <c r="A14" s="51" t="s">
        <v>32</v>
      </c>
      <c r="B14" s="51" t="s">
        <v>78</v>
      </c>
      <c r="C14" s="51" t="s">
        <v>79</v>
      </c>
    </row>
    <row r="15" ht="20.1" customHeight="1" spans="1:3" x14ac:dyDescent="0.25">
      <c r="A15" s="51" t="s">
        <v>80</v>
      </c>
      <c r="B15" s="51" t="s">
        <v>81</v>
      </c>
      <c r="C15" s="51" t="s">
        <v>82</v>
      </c>
    </row>
    <row r="16" ht="20.1" customHeight="1" spans="1:3" x14ac:dyDescent="0.25">
      <c r="A16" s="51" t="s">
        <v>19</v>
      </c>
      <c r="B16" s="51" t="s">
        <v>83</v>
      </c>
      <c r="C16" s="51" t="s">
        <v>84</v>
      </c>
    </row>
    <row r="17" ht="20.1" customHeight="1" spans="1:3" x14ac:dyDescent="0.25">
      <c r="A17" s="51" t="s">
        <v>85</v>
      </c>
      <c r="B17" s="51" t="s">
        <v>86</v>
      </c>
      <c r="C17" s="51" t="s">
        <v>87</v>
      </c>
    </row>
    <row r="18" ht="20.1" customHeight="1" spans="1:3" x14ac:dyDescent="0.25">
      <c r="A18" s="51" t="s">
        <v>88</v>
      </c>
      <c r="B18" s="51" t="s">
        <v>89</v>
      </c>
      <c r="C18" s="51" t="s">
        <v>90</v>
      </c>
    </row>
    <row r="19" ht="20.1" customHeight="1" spans="1:3" x14ac:dyDescent="0.25">
      <c r="A19" s="51" t="s">
        <v>91</v>
      </c>
      <c r="B19" s="51" t="s">
        <v>92</v>
      </c>
      <c r="C19" s="51" t="s">
        <v>93</v>
      </c>
    </row>
    <row r="20" ht="20.1" customHeight="1" spans="1:3" x14ac:dyDescent="0.25">
      <c r="A20" s="51" t="s">
        <v>33</v>
      </c>
      <c r="B20" s="51" t="s">
        <v>94</v>
      </c>
      <c r="C20" s="51" t="s">
        <v>95</v>
      </c>
    </row>
    <row r="21" ht="20.1" customHeight="1" spans="1:3" x14ac:dyDescent="0.25">
      <c r="A21" s="51" t="s">
        <v>96</v>
      </c>
      <c r="B21" s="51" t="s">
        <v>97</v>
      </c>
      <c r="C21" s="51" t="s">
        <v>98</v>
      </c>
    </row>
    <row r="22" ht="20.1" customHeight="1" spans="1:3" x14ac:dyDescent="0.25">
      <c r="A22" s="51" t="s">
        <v>99</v>
      </c>
      <c r="B22" s="51" t="s">
        <v>100</v>
      </c>
      <c r="C22" s="51" t="s">
        <v>101</v>
      </c>
    </row>
    <row r="23" ht="20.1" customHeight="1" spans="1:3" x14ac:dyDescent="0.25">
      <c r="A23" s="51" t="s">
        <v>102</v>
      </c>
      <c r="B23" s="51" t="s">
        <v>103</v>
      </c>
      <c r="C23" s="51" t="s">
        <v>104</v>
      </c>
    </row>
    <row r="24" ht="20.1" customHeight="1" spans="1:3" x14ac:dyDescent="0.25">
      <c r="A24" s="51" t="s">
        <v>105</v>
      </c>
      <c r="B24" s="51" t="s">
        <v>106</v>
      </c>
      <c r="C24" s="51" t="s">
        <v>107</v>
      </c>
    </row>
    <row r="25" ht="20.1" customHeight="1" spans="1:3" x14ac:dyDescent="0.25">
      <c r="A25" s="51" t="s">
        <v>108</v>
      </c>
      <c r="B25" s="51" t="s">
        <v>109</v>
      </c>
      <c r="C25" s="51" t="s">
        <v>110</v>
      </c>
    </row>
    <row r="26" ht="20.1" customHeight="1" spans="1:3" x14ac:dyDescent="0.25">
      <c r="A26" s="51" t="s">
        <v>111</v>
      </c>
      <c r="B26" s="51" t="s">
        <v>112</v>
      </c>
      <c r="C26" s="51" t="s">
        <v>113</v>
      </c>
    </row>
    <row r="27" ht="20.1" customHeight="1" spans="1:3" x14ac:dyDescent="0.25">
      <c r="A27" s="51" t="s">
        <v>114</v>
      </c>
      <c r="B27" s="51" t="s">
        <v>115</v>
      </c>
      <c r="C27" s="51" t="s">
        <v>116</v>
      </c>
    </row>
    <row r="28" ht="20.1" customHeight="1" spans="1:3" x14ac:dyDescent="0.25">
      <c r="A28" s="51" t="s">
        <v>26</v>
      </c>
      <c r="B28" s="51" t="s">
        <v>117</v>
      </c>
      <c r="C28" s="51" t="s">
        <v>68</v>
      </c>
    </row>
    <row r="29" ht="20.1" customHeight="1" spans="1:3" x14ac:dyDescent="0.25">
      <c r="A29" s="51" t="s">
        <v>118</v>
      </c>
      <c r="B29" s="51" t="s">
        <v>119</v>
      </c>
      <c r="C29" s="51" t="s">
        <v>120</v>
      </c>
    </row>
    <row r="30" ht="20.1" customHeight="1" spans="1:3" x14ac:dyDescent="0.25">
      <c r="A30" s="51" t="s">
        <v>34</v>
      </c>
      <c r="B30" s="51" t="s">
        <v>121</v>
      </c>
      <c r="C30" s="51" t="s">
        <v>122</v>
      </c>
    </row>
    <row r="31" ht="20.1" customHeight="1" spans="1:3" x14ac:dyDescent="0.25">
      <c r="A31" s="51" t="s">
        <v>123</v>
      </c>
      <c r="B31" s="51" t="s">
        <v>124</v>
      </c>
      <c r="C31" s="51" t="s">
        <v>125</v>
      </c>
    </row>
    <row r="32" ht="20.1" customHeight="1" spans="1:3" x14ac:dyDescent="0.25">
      <c r="A32" s="51" t="s">
        <v>126</v>
      </c>
      <c r="B32" s="51" t="s">
        <v>127</v>
      </c>
      <c r="C32" s="51" t="s">
        <v>128</v>
      </c>
    </row>
    <row r="33" ht="20.1" customHeight="1" spans="1:3" x14ac:dyDescent="0.25">
      <c r="A33" s="51" t="s">
        <v>129</v>
      </c>
      <c r="B33" s="51" t="s">
        <v>130</v>
      </c>
      <c r="C33" s="51" t="s">
        <v>131</v>
      </c>
    </row>
    <row r="34" ht="20.1" customHeight="1" spans="1:3" x14ac:dyDescent="0.25">
      <c r="A34" s="51" t="s">
        <v>132</v>
      </c>
      <c r="B34" s="51" t="s">
        <v>133</v>
      </c>
      <c r="C34" s="51" t="s">
        <v>134</v>
      </c>
    </row>
    <row r="35" ht="20.1" customHeight="1" spans="1:3" x14ac:dyDescent="0.25">
      <c r="A35" s="51" t="s">
        <v>135</v>
      </c>
      <c r="B35" s="51" t="s">
        <v>136</v>
      </c>
      <c r="C35" s="51" t="s">
        <v>137</v>
      </c>
    </row>
    <row r="36" ht="20.1" customHeight="1" spans="1:3" x14ac:dyDescent="0.25">
      <c r="A36" s="51" t="s">
        <v>138</v>
      </c>
      <c r="B36" s="51" t="s">
        <v>139</v>
      </c>
      <c r="C36" s="51" t="s">
        <v>140</v>
      </c>
    </row>
    <row r="37" ht="20.1" customHeight="1" spans="1:3" x14ac:dyDescent="0.25">
      <c r="A37" s="51" t="s">
        <v>141</v>
      </c>
      <c r="B37" s="51" t="s">
        <v>142</v>
      </c>
      <c r="C37" s="51" t="s">
        <v>143</v>
      </c>
    </row>
    <row r="38" ht="20.1" customHeight="1" spans="1:3" x14ac:dyDescent="0.25">
      <c r="A38" s="51" t="s">
        <v>144</v>
      </c>
      <c r="B38" s="51" t="s">
        <v>145</v>
      </c>
      <c r="C38" s="51" t="s">
        <v>146</v>
      </c>
    </row>
    <row r="39" ht="20.1" customHeight="1" spans="1:3" x14ac:dyDescent="0.25">
      <c r="A39" s="52" t="s">
        <v>147</v>
      </c>
      <c r="B39" s="52" t="s">
        <v>148</v>
      </c>
      <c r="C39" s="52" t="s">
        <v>149</v>
      </c>
    </row>
    <row r="40" ht="20.1" customHeight="1" spans="1:3" x14ac:dyDescent="0.25">
      <c r="A40" s="53" t="s">
        <v>150</v>
      </c>
      <c r="B40" s="53" t="s">
        <v>151</v>
      </c>
      <c r="C40" s="53" t="s">
        <v>152</v>
      </c>
    </row>
    <row r="41" ht="20.1" customHeight="1" spans="1:3" x14ac:dyDescent="0.25">
      <c r="A41" s="53" t="s">
        <v>153</v>
      </c>
      <c r="B41" s="53" t="s">
        <v>154</v>
      </c>
      <c r="C41" s="53" t="s">
        <v>155</v>
      </c>
    </row>
    <row r="42" ht="20.1" customHeight="1" spans="1:3" x14ac:dyDescent="0.25">
      <c r="A42" s="54" t="s">
        <v>156</v>
      </c>
      <c r="B42" s="54" t="s">
        <v>130</v>
      </c>
      <c r="C42" s="54" t="s">
        <v>131</v>
      </c>
    </row>
    <row r="43" ht="20.1" customHeight="1" spans="1:3" x14ac:dyDescent="0.25">
      <c r="A43" s="54" t="s">
        <v>157</v>
      </c>
      <c r="B43" s="54" t="s">
        <v>158</v>
      </c>
      <c r="C43" s="54" t="s">
        <v>159</v>
      </c>
    </row>
    <row r="44" ht="20.1" customHeight="1" spans="1:3" x14ac:dyDescent="0.25">
      <c r="A44" t="s">
        <v>160</v>
      </c>
      <c r="B44" t="s">
        <v>161</v>
      </c>
      <c r="C44" t="s">
        <v>162</v>
      </c>
    </row>
    <row r="45" ht="20.1" customHeight="1" spans="1:3" x14ac:dyDescent="0.25">
      <c r="A45" t="s">
        <v>163</v>
      </c>
      <c r="B45" t="s">
        <v>164</v>
      </c>
      <c r="C45" t="s">
        <v>165</v>
      </c>
    </row>
    <row r="46" ht="20.1" customHeight="1" spans="1:3" x14ac:dyDescent="0.25">
      <c r="A46" t="s">
        <v>166</v>
      </c>
      <c r="B46" s="55" t="s">
        <v>167</v>
      </c>
      <c r="C46" t="s">
        <v>168</v>
      </c>
    </row>
    <row r="47" ht="20.1" customHeight="1" spans="1:3" x14ac:dyDescent="0.25">
      <c r="A47" t="s">
        <v>169</v>
      </c>
      <c r="B47" s="55" t="s">
        <v>170</v>
      </c>
      <c r="C47" s="2">
        <v>827042045121</v>
      </c>
    </row>
    <row r="48" ht="20.1" customHeight="1" spans="1:3" x14ac:dyDescent="0.25">
      <c r="A48" t="s">
        <v>171</v>
      </c>
      <c r="B48" t="s">
        <v>172</v>
      </c>
      <c r="C48" t="s">
        <v>173</v>
      </c>
    </row>
    <row r="49" ht="20.1" customHeight="1" spans="1:3" x14ac:dyDescent="0.25">
      <c r="A49" t="s">
        <v>85</v>
      </c>
      <c r="B49" t="s">
        <v>174</v>
      </c>
      <c r="C49" t="s">
        <v>87</v>
      </c>
    </row>
    <row r="50" ht="20.1" customHeight="1" spans="1:3" x14ac:dyDescent="0.25">
      <c r="A50" t="s">
        <v>175</v>
      </c>
      <c r="B50" s="56" t="s">
        <v>176</v>
      </c>
      <c r="C50" t="s">
        <v>140</v>
      </c>
    </row>
    <row r="51" ht="20.1" customHeight="1" spans="1:3" x14ac:dyDescent="0.25">
      <c r="A51" s="56" t="s">
        <v>114</v>
      </c>
      <c r="B51" t="s">
        <v>177</v>
      </c>
      <c r="C51" t="s">
        <v>116</v>
      </c>
    </row>
    <row r="52" ht="20.1" customHeight="1" spans="1:3" x14ac:dyDescent="0.25">
      <c r="A52" t="s">
        <v>160</v>
      </c>
      <c r="B52" t="s">
        <v>178</v>
      </c>
      <c r="C52" t="s">
        <v>162</v>
      </c>
    </row>
    <row r="53" ht="20.1" customHeight="1" spans="1:3" x14ac:dyDescent="0.25">
      <c r="A53" t="s">
        <v>179</v>
      </c>
      <c r="B53" t="s">
        <v>180</v>
      </c>
      <c r="C53" t="s">
        <v>173</v>
      </c>
    </row>
    <row r="54" ht="20.1" customHeight="1" spans="1:3" x14ac:dyDescent="0.25">
      <c r="A54" t="s">
        <v>181</v>
      </c>
      <c r="B54" t="s">
        <v>182</v>
      </c>
      <c r="C54" t="s">
        <v>183</v>
      </c>
    </row>
    <row r="55" ht="20.1" customHeight="1" spans="1:3" x14ac:dyDescent="0.25">
      <c r="A55" t="s">
        <v>184</v>
      </c>
      <c r="B55" t="s">
        <v>185</v>
      </c>
      <c r="C55" t="s">
        <v>186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 zoomScale="100" zoomScaleNormal="100">
      <selection activeCell="E4" sqref="E4"/>
    </sheetView>
  </sheetViews>
  <sheetFormatPr defaultRowHeight="15" outlineLevelRow="0" outlineLevelCol="0" x14ac:dyDescent="0"/>
  <cols>
    <col min="3" max="3" width="18" customWidth="1"/>
    <col min="8" max="11" width="9" style="1" customWidth="1"/>
    <col min="12" max="12" width="67.25" customWidth="1"/>
    <col min="15" max="15" width="34.625" customWidth="1"/>
    <col min="16" max="16" width="16.125" style="2" customWidth="1"/>
    <col min="17" max="17" width="14.125" customWidth="1"/>
    <col min="18" max="18" width="11.625" customWidth="1"/>
    <col min="19" max="19" width="12.75" customWidth="1"/>
  </cols>
  <sheetData>
    <row r="1" ht="15" customHeight="1" spans="1:19" s="3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4" t="s">
        <v>16</v>
      </c>
      <c r="R1" s="4" t="s">
        <v>17</v>
      </c>
      <c r="S1" s="4" t="s">
        <v>18</v>
      </c>
    </row>
    <row r="2" ht="15" customHeight="1" spans="1:19" x14ac:dyDescent="0.25">
      <c r="A2" s="6"/>
      <c r="B2" s="7"/>
      <c r="C2" s="8">
        <v>72748641</v>
      </c>
      <c r="D2" s="6"/>
      <c r="E2" s="9" t="s">
        <v>19</v>
      </c>
      <c r="F2" s="6"/>
      <c r="G2" s="6"/>
      <c r="H2" s="7" t="str">
        <f>IFERROR(VLOOKUP(E2,배송지!A:C,3,0)," ")</f>
        <v>070-4481-8846</v>
      </c>
      <c r="I2" s="6"/>
      <c r="J2" s="7" t="str">
        <f>IFERROR(VLOOKUP(E2,배송지!A:C,2,0)," ")</f>
        <v>인천 서구 오류동 1545-2 쿠팡 인천4물류센터 (택배수령담당자 : 070-4481-8846)</v>
      </c>
      <c r="K2" s="6"/>
      <c r="L2" s="10" t="str">
        <f>O2&amp;" "&amp;P2</f>
        <v>니트 스트링 보닛햇 메리몬 아이보리  </v>
      </c>
      <c r="M2" s="11">
        <v>1</v>
      </c>
      <c r="N2" s="12" t="e">
        <f>INDEX('상품정보(1)'!R:R,MATCH(양식!O2,'상품정보(1)'!E:E,0))</f>
        <v>#N/A</v>
      </c>
      <c r="O2" s="9" t="s">
        <v>20</v>
      </c>
      <c r="P2" s="13" t="str">
        <f>IFERROR(INDEX('상품정보(1)'!F:F,MATCH(양식!O2,'상품정보(1)'!E:E,0))," ")</f>
        <v> </v>
      </c>
      <c r="Q2" s="14" t="str">
        <f>IFERROR(VLOOKUP(O2,상품코드!A:B,2,0)," ")</f>
        <v>WIW53I8CIVX</v>
      </c>
      <c r="R2" s="15" t="str">
        <f>LEFT(Q2,8)</f>
        <v>WIW53I8C</v>
      </c>
      <c r="S2" s="6"/>
    </row>
    <row r="3" ht="15" customHeight="1" spans="1:19" x14ac:dyDescent="0.25">
      <c r="A3" s="6"/>
      <c r="B3" s="7"/>
      <c r="C3" s="8">
        <v>72748641</v>
      </c>
      <c r="D3" s="6"/>
      <c r="E3" s="9" t="s">
        <v>19</v>
      </c>
      <c r="F3" s="6"/>
      <c r="G3" s="6"/>
      <c r="H3" s="7" t="str">
        <f>IFERROR(VLOOKUP(E3,배송지!A:C,3,0)," ")</f>
        <v>070-4481-8846</v>
      </c>
      <c r="I3" s="6"/>
      <c r="J3" s="7" t="str">
        <f>IFERROR(VLOOKUP(E3,배송지!A:C,2,0)," ")</f>
        <v>인천 서구 오류동 1545-2 쿠팡 인천4물류센터 (택배수령담당자 : 070-4481-8846)</v>
      </c>
      <c r="K3" s="6"/>
      <c r="L3" s="10" t="str">
        <f t="shared" ref="L3:L15" si="0">O3&amp;" "&amp;P3</f>
        <v>앙고라 버킷햇 베이시 퍼플  </v>
      </c>
      <c r="M3" s="11">
        <v>1</v>
      </c>
      <c r="N3" s="12" t="e">
        <f>INDEX('상품정보(1)'!R:R,MATCH(양식!O3,'상품정보(1)'!E:E,0))</f>
        <v>#N/A</v>
      </c>
      <c r="O3" s="9" t="s">
        <v>21</v>
      </c>
      <c r="P3" s="13" t="str">
        <f>IFERROR(INDEX('상품정보(1)'!F:F,MATCH(양식!O3,'상품정보(1)'!E:E,0))," ")</f>
        <v> </v>
      </c>
      <c r="Q3" s="14" t="str">
        <f>IFERROR(VLOOKUP(O3,상품코드!A:B,2,0)," ")</f>
        <v>WIW60H9ZPPX</v>
      </c>
      <c r="R3" s="15" t="str">
        <f t="shared" ref="R3:R15" si="1">LEFT(Q3,8)</f>
        <v>WIW60H9Z</v>
      </c>
      <c r="S3" s="6"/>
    </row>
    <row r="4" ht="15" customHeight="1" spans="1:19" x14ac:dyDescent="0.25">
      <c r="A4" s="6"/>
      <c r="B4" s="7"/>
      <c r="C4" s="8">
        <v>72748641</v>
      </c>
      <c r="D4" s="6"/>
      <c r="E4" s="9" t="s">
        <v>19</v>
      </c>
      <c r="F4" s="6"/>
      <c r="G4" s="6"/>
      <c r="H4" s="7" t="str">
        <f>IFERROR(VLOOKUP(E4,배송지!A:C,3,0)," ")</f>
        <v>070-4481-8846</v>
      </c>
      <c r="I4" s="6"/>
      <c r="J4" s="7" t="str">
        <f>IFERROR(VLOOKUP(E4,배송지!A:C,2,0)," ")</f>
        <v>인천 서구 오류동 1545-2 쿠팡 인천4물류센터 (택배수령담당자 : 070-4481-8846)</v>
      </c>
      <c r="K4" s="6"/>
      <c r="L4" s="10" t="str">
        <f t="shared" si="0"/>
        <v>니트 보닛햇 허슬리아 블랙  </v>
      </c>
      <c r="M4" s="11">
        <v>4</v>
      </c>
      <c r="N4" s="12" t="e">
        <f>INDEX('상품정보(1)'!R:R,MATCH(양식!O4,'상품정보(1)'!E:E,0))</f>
        <v>#N/A</v>
      </c>
      <c r="O4" s="9" t="s">
        <v>22</v>
      </c>
      <c r="P4" s="13" t="str">
        <f>IFERROR(INDEX('상품정보(1)'!F:F,MATCH(양식!O4,'상품정보(1)'!E:E,0))," ")</f>
        <v> </v>
      </c>
      <c r="Q4" s="14" t="str">
        <f>IFERROR(VLOOKUP(O4,상품코드!A:B,2,0)," ")</f>
        <v>WHFW607DBKX</v>
      </c>
      <c r="R4" s="15" t="str">
        <f t="shared" si="1"/>
        <v>WHFW607D</v>
      </c>
      <c r="S4" s="16"/>
    </row>
    <row r="5" ht="15" customHeight="1" spans="1:19" x14ac:dyDescent="0.25">
      <c r="A5" s="6"/>
      <c r="B5" s="7"/>
      <c r="C5" s="8">
        <v>72748641</v>
      </c>
      <c r="D5" s="6"/>
      <c r="E5" s="9" t="s">
        <v>19</v>
      </c>
      <c r="F5" s="6"/>
      <c r="G5" s="6"/>
      <c r="H5" s="7" t="str">
        <f>IFERROR(VLOOKUP(E5,배송지!A:C,3,0)," ")</f>
        <v>070-4481-8846</v>
      </c>
      <c r="I5" s="6"/>
      <c r="J5" s="7" t="str">
        <f>IFERROR(VLOOKUP(E5,배송지!A:C,2,0)," ")</f>
        <v>인천 서구 오류동 1545-2 쿠팡 인천4물류센터 (택배수령담당자 : 070-4481-8846)</v>
      </c>
      <c r="K5" s="6"/>
      <c r="L5" s="10" t="str">
        <f t="shared" si="0"/>
        <v>헤링본 코듀로이 자수 버킷햇 로렌스 블랙  </v>
      </c>
      <c r="M5" s="11">
        <v>1</v>
      </c>
      <c r="N5" s="12" t="e">
        <f>INDEX('상품정보(1)'!R:R,MATCH(양식!O5,'상품정보(1)'!E:E,0))</f>
        <v>#N/A</v>
      </c>
      <c r="O5" s="9" t="s">
        <v>23</v>
      </c>
      <c r="P5" s="13" t="str">
        <f>IFERROR(INDEX('상품정보(1)'!F:F,MATCH(양식!O5,'상품정보(1)'!E:E,0))," ")</f>
        <v> </v>
      </c>
      <c r="Q5" s="14" t="str">
        <f>IFERROR(VLOOKUP(O5,상품코드!A:B,2,0)," ")</f>
        <v>WIF31K7TBKX</v>
      </c>
      <c r="R5" s="15" t="str">
        <f t="shared" si="1"/>
        <v>WIF31K7T</v>
      </c>
      <c r="S5" s="16"/>
    </row>
    <row r="6" ht="15" customHeight="1" spans="1:19" x14ac:dyDescent="0.25">
      <c r="A6" s="16"/>
      <c r="B6" s="16"/>
      <c r="C6" s="17">
        <v>72748675</v>
      </c>
      <c r="D6" s="16"/>
      <c r="E6" s="9" t="s">
        <v>24</v>
      </c>
      <c r="F6" s="16"/>
      <c r="G6" s="16"/>
      <c r="H6" s="7" t="str">
        <f>IFERROR(VLOOKUP(E6,배송지!A:C,3,0)," ")</f>
        <v>070-5158-8142</v>
      </c>
      <c r="I6" s="18"/>
      <c r="J6" s="7" t="str">
        <f>IFERROR(VLOOKUP(E6,배송지!A:C,2,0)," ")</f>
        <v>경기도 이천시 마장면 이장로 329-38 (택배수령담당자 : 070-5158-8142)</v>
      </c>
      <c r="K6" s="18"/>
      <c r="L6" s="10" t="str">
        <f t="shared" si="0"/>
        <v>니트 트루퍼 비니 헤이스 블랙  </v>
      </c>
      <c r="M6" s="17">
        <v>1</v>
      </c>
      <c r="N6" s="19" t="e">
        <f>INDEX('상품정보(1)'!R:R,MATCH(양식!O6,'상품정보(1)'!E:E,0))</f>
        <v>#N/A</v>
      </c>
      <c r="O6" s="9" t="s">
        <v>25</v>
      </c>
      <c r="P6" s="13" t="str">
        <f>IFERROR(INDEX('상품정보(1)'!F:F,MATCH(양식!O6,'상품정보(1)'!E:E,0))," ")</f>
        <v> </v>
      </c>
      <c r="Q6" s="14" t="str">
        <f>IFERROR(VLOOKUP(O6,상품코드!A:B,2,0)," ")</f>
        <v>WIW47I8QBKX</v>
      </c>
      <c r="R6" s="15" t="str">
        <f t="shared" si="1"/>
        <v>WIW47I8Q</v>
      </c>
      <c r="S6" s="16"/>
    </row>
    <row r="7" ht="15" customHeight="1" spans="1:19" x14ac:dyDescent="0.25">
      <c r="A7" s="16"/>
      <c r="B7" s="16"/>
      <c r="C7" s="17">
        <v>72748725</v>
      </c>
      <c r="D7" s="16"/>
      <c r="E7" s="9" t="s">
        <v>26</v>
      </c>
      <c r="F7" s="16"/>
      <c r="G7" s="16"/>
      <c r="H7" s="7" t="str">
        <f>IFERROR(VLOOKUP(E7,배송지!A:C,3,0)," ")</f>
        <v>070-4732-1870</v>
      </c>
      <c r="I7" s="18"/>
      <c r="J7" s="7" t="str">
        <f>IFERROR(VLOOKUP(E7,배송지!A:C,2,0)," ")</f>
        <v>광주시 오포로 297번길 54 (택배수령담당자 : 070-4732-1870)</v>
      </c>
      <c r="K7" s="18"/>
      <c r="L7" s="10" t="str">
        <f t="shared" si="0"/>
        <v>플로우 라인 배색 니트 버킷햇 피터리 그레이  </v>
      </c>
      <c r="M7" s="17">
        <v>1</v>
      </c>
      <c r="N7" s="19" t="e">
        <f>INDEX('상품정보(1)'!R:R,MATCH(양식!O7,'상품정보(1)'!E:E,0))</f>
        <v>#N/A</v>
      </c>
      <c r="O7" s="9" t="s">
        <v>27</v>
      </c>
      <c r="P7" s="13" t="str">
        <f>IFERROR(INDEX('상품정보(1)'!F:F,MATCH(양식!O7,'상품정보(1)'!E:E,0))," ")</f>
        <v> </v>
      </c>
      <c r="Q7" s="14" t="str">
        <f>IFERROR(VLOOKUP(O7,상품코드!A:B,2,0)," ")</f>
        <v>WIF42H9ZGYX</v>
      </c>
      <c r="R7" s="15" t="str">
        <f t="shared" si="1"/>
        <v>WIF42H9Z</v>
      </c>
      <c r="S7" s="16"/>
    </row>
    <row r="8" ht="15" customHeight="1" spans="1:19" x14ac:dyDescent="0.25">
      <c r="A8" s="16"/>
      <c r="B8" s="16"/>
      <c r="C8" s="17">
        <v>72748725</v>
      </c>
      <c r="D8" s="16"/>
      <c r="E8" s="9" t="s">
        <v>26</v>
      </c>
      <c r="F8" s="16"/>
      <c r="G8" s="16"/>
      <c r="H8" s="7" t="str">
        <f>IFERROR(VLOOKUP(E8,배송지!A:C,3,0)," ")</f>
        <v>070-4732-1870</v>
      </c>
      <c r="I8" s="18"/>
      <c r="J8" s="7" t="str">
        <f>IFERROR(VLOOKUP(E8,배송지!A:C,2,0)," ")</f>
        <v>광주시 오포로 297번길 54 (택배수령담당자 : 070-4732-1870)</v>
      </c>
      <c r="K8" s="18"/>
      <c r="L8" s="10" t="str">
        <f t="shared" si="0"/>
        <v>니트 보닛햇 허슬리아 오트밀  </v>
      </c>
      <c r="M8" s="17">
        <v>3</v>
      </c>
      <c r="N8" s="19" t="e">
        <f>INDEX('상품정보(1)'!R:R,MATCH(양식!O8,'상품정보(1)'!E:E,0))</f>
        <v>#N/A</v>
      </c>
      <c r="O8" s="9" t="s">
        <v>28</v>
      </c>
      <c r="P8" s="13" t="str">
        <f>IFERROR(INDEX('상품정보(1)'!F:F,MATCH(양식!O8,'상품정보(1)'!E:E,0))," ")</f>
        <v> </v>
      </c>
      <c r="Q8" s="14" t="str">
        <f>IFERROR(VLOOKUP(O8,상품코드!A:B,2,0)," ")</f>
        <v>WHFW607DOTX</v>
      </c>
      <c r="R8" s="15" t="str">
        <f t="shared" si="1"/>
        <v>WHFW607D</v>
      </c>
      <c r="S8" s="16"/>
    </row>
    <row r="9" ht="15" customHeight="1" spans="1:19" x14ac:dyDescent="0.25">
      <c r="A9" s="16"/>
      <c r="B9" s="16"/>
      <c r="C9" s="17">
        <v>72748778</v>
      </c>
      <c r="D9" s="16"/>
      <c r="E9" s="9" t="s">
        <v>29</v>
      </c>
      <c r="F9" s="16"/>
      <c r="G9" s="16"/>
      <c r="H9" s="7" t="str">
        <f>IFERROR(VLOOKUP(E9,배송지!A:C,3,0)," ")</f>
        <v>070-4741-9123</v>
      </c>
      <c r="I9" s="18"/>
      <c r="J9" s="7" t="str">
        <f>IFERROR(VLOOKUP(E9,배송지!A:C,2,0)," ")</f>
        <v>인천광역시 서구 북항로 120번길 55, A동 7~9F (택배수령담당자 : 070-4741-9123)</v>
      </c>
      <c r="K9" s="18"/>
      <c r="L9" s="10" t="str">
        <f t="shared" si="0"/>
        <v>니트 보닛햇 허슬리아 블랙  </v>
      </c>
      <c r="M9" s="17">
        <v>1</v>
      </c>
      <c r="N9" s="19" t="e">
        <f>INDEX('상품정보(1)'!R:R,MATCH(양식!O9,'상품정보(1)'!E:E,0))</f>
        <v>#N/A</v>
      </c>
      <c r="O9" s="9" t="s">
        <v>22</v>
      </c>
      <c r="P9" s="13" t="str">
        <f>IFERROR(INDEX('상품정보(1)'!F:F,MATCH(양식!O9,'상품정보(1)'!E:E,0))," ")</f>
        <v> </v>
      </c>
      <c r="Q9" s="14" t="str">
        <f>IFERROR(VLOOKUP(O9,상품코드!A:B,2,0)," ")</f>
        <v>WHFW607DBKX</v>
      </c>
      <c r="R9" s="15" t="str">
        <f t="shared" si="1"/>
        <v>WHFW607D</v>
      </c>
      <c r="S9" s="16"/>
    </row>
    <row r="10" ht="15" customHeight="1" spans="1:19" x14ac:dyDescent="0.25">
      <c r="A10" s="16"/>
      <c r="B10" s="16"/>
      <c r="C10" s="17">
        <v>72748798</v>
      </c>
      <c r="D10" s="16"/>
      <c r="E10" s="9" t="s">
        <v>30</v>
      </c>
      <c r="F10" s="16"/>
      <c r="G10" s="16"/>
      <c r="H10" s="7" t="str">
        <f>IFERROR(VLOOKUP(E10,배송지!A:C,3,0)," ")</f>
        <v>070-5158-8147</v>
      </c>
      <c r="I10" s="18"/>
      <c r="J10" s="7" t="str">
        <f>IFERROR(VLOOKUP(E10,배송지!A:C,2,0)," ")</f>
        <v>경기도 이천시 대월면 대장로 190 3층 (택배수령담당자 : 070-5158-8147)</v>
      </c>
      <c r="K10" s="18"/>
      <c r="L10" s="10" t="str">
        <f t="shared" si="0"/>
        <v>플로우 라인 배색 니트 버킷햇 피터리 블랙  </v>
      </c>
      <c r="M10" s="17">
        <v>3</v>
      </c>
      <c r="N10" s="19" t="e">
        <f>INDEX('상품정보(1)'!R:R,MATCH(양식!O10,'상품정보(1)'!E:E,0))</f>
        <v>#N/A</v>
      </c>
      <c r="O10" s="9" t="s">
        <v>31</v>
      </c>
      <c r="P10" s="13" t="str">
        <f>IFERROR(INDEX('상품정보(1)'!F:F,MATCH(양식!O10,'상품정보(1)'!E:E,0))," ")</f>
        <v> </v>
      </c>
      <c r="Q10" s="14" t="str">
        <f>IFERROR(VLOOKUP(O10,상품코드!A:B,2,0)," ")</f>
        <v>WIF42H9ZBKX</v>
      </c>
      <c r="R10" s="15" t="str">
        <f t="shared" si="1"/>
        <v>WIF42H9Z</v>
      </c>
      <c r="S10" s="16"/>
    </row>
    <row r="11" ht="15" customHeight="1" spans="1:19" x14ac:dyDescent="0.25">
      <c r="A11" s="16"/>
      <c r="B11" s="16"/>
      <c r="C11" s="17">
        <v>72793619</v>
      </c>
      <c r="D11" s="16"/>
      <c r="E11" s="9" t="s">
        <v>32</v>
      </c>
      <c r="F11" s="16"/>
      <c r="G11" s="16"/>
      <c r="H11" s="7" t="str">
        <f>IFERROR(VLOOKUP(E11,배송지!A:C,3,0)," ")</f>
        <v>070-4420-4468</v>
      </c>
      <c r="I11" s="18"/>
      <c r="J11" s="7" t="str">
        <f>IFERROR(VLOOKUP(E11,배송지!A:C,2,0)," ")</f>
        <v>경상남도 창원시 진해구 두동로 33 A동 5층 (택배수령담당자 : 070-4420-4468)</v>
      </c>
      <c r="K11" s="18"/>
      <c r="L11" s="10" t="str">
        <f t="shared" si="0"/>
        <v>니트 보닛햇 허슬리아 블랙  </v>
      </c>
      <c r="M11" s="17">
        <v>9</v>
      </c>
      <c r="N11" s="19" t="e">
        <f>INDEX('상품정보(1)'!R:R,MATCH(양식!O11,'상품정보(1)'!E:E,0))</f>
        <v>#N/A</v>
      </c>
      <c r="O11" s="9" t="s">
        <v>22</v>
      </c>
      <c r="P11" s="13" t="str">
        <f>IFERROR(INDEX('상품정보(1)'!F:F,MATCH(양식!O11,'상품정보(1)'!E:E,0))," ")</f>
        <v> </v>
      </c>
      <c r="Q11" s="14" t="str">
        <f>IFERROR(VLOOKUP(O11,상품코드!A:B,2,0)," ")</f>
        <v>WHFW607DBKX</v>
      </c>
      <c r="R11" s="15" t="str">
        <f t="shared" si="1"/>
        <v>WHFW607D</v>
      </c>
      <c r="S11" s="16"/>
    </row>
    <row r="12" ht="15" customHeight="1" spans="1:19" x14ac:dyDescent="0.25">
      <c r="A12" s="16"/>
      <c r="B12" s="16"/>
      <c r="C12" s="17">
        <v>72793653</v>
      </c>
      <c r="D12" s="16"/>
      <c r="E12" s="9" t="s">
        <v>33</v>
      </c>
      <c r="F12" s="16"/>
      <c r="G12" s="16"/>
      <c r="H12" s="7" t="str">
        <f>IFERROR(VLOOKUP(E12,배송지!A:C,3,0)," ")</f>
        <v>070-5159-0578</v>
      </c>
      <c r="I12" s="18"/>
      <c r="J12" s="7" t="str">
        <f>IFERROR(VLOOKUP(E12,배송지!A:C,2,0)," ")</f>
        <v>인천광역시 서구 거북로13, 5층 (택배수령담당자 : 070-5159-0578)</v>
      </c>
      <c r="K12" s="18"/>
      <c r="L12" s="10" t="str">
        <f t="shared" si="0"/>
        <v>앙고라 버킷햇 베이시 퍼플  </v>
      </c>
      <c r="M12" s="17">
        <v>1</v>
      </c>
      <c r="N12" s="19" t="e">
        <f>INDEX('상품정보(1)'!R:R,MATCH(양식!O12,'상품정보(1)'!E:E,0))</f>
        <v>#N/A</v>
      </c>
      <c r="O12" s="9" t="s">
        <v>21</v>
      </c>
      <c r="P12" s="13" t="str">
        <f>IFERROR(INDEX('상품정보(1)'!F:F,MATCH(양식!O12,'상품정보(1)'!E:E,0))," ")</f>
        <v> </v>
      </c>
      <c r="Q12" s="14" t="str">
        <f>IFERROR(VLOOKUP(O12,상품코드!A:B,2,0)," ")</f>
        <v>WIW60H9ZPPX</v>
      </c>
      <c r="R12" s="15" t="str">
        <f t="shared" si="1"/>
        <v>WIW60H9Z</v>
      </c>
      <c r="S12" s="16"/>
    </row>
    <row r="13" ht="15" customHeight="1" spans="1:19" x14ac:dyDescent="0.25">
      <c r="A13" s="16"/>
      <c r="B13" s="16"/>
      <c r="C13" s="17">
        <v>72793736</v>
      </c>
      <c r="D13" s="16"/>
      <c r="E13" s="9" t="s">
        <v>19</v>
      </c>
      <c r="F13" s="16"/>
      <c r="G13" s="16"/>
      <c r="H13" s="7" t="str">
        <f>IFERROR(VLOOKUP(E13,배송지!A:C,3,0)," ")</f>
        <v>070-4481-8846</v>
      </c>
      <c r="I13" s="18"/>
      <c r="J13" s="7" t="str">
        <f>IFERROR(VLOOKUP(E13,배송지!A:C,2,0)," ")</f>
        <v>인천 서구 오류동 1545-2 쿠팡 인천4물류센터 (택배수령담당자 : 070-4481-8846)</v>
      </c>
      <c r="K13" s="18"/>
      <c r="L13" s="10" t="str">
        <f t="shared" si="0"/>
        <v>니트 보닛햇 허슬리아 블랙  </v>
      </c>
      <c r="M13" s="17">
        <v>1</v>
      </c>
      <c r="N13" s="19" t="e">
        <f>INDEX('상품정보(1)'!R:R,MATCH(양식!O13,'상품정보(1)'!E:E,0))</f>
        <v>#N/A</v>
      </c>
      <c r="O13" s="9" t="s">
        <v>22</v>
      </c>
      <c r="P13" s="13" t="str">
        <f>IFERROR(INDEX('상품정보(1)'!F:F,MATCH(양식!O13,'상품정보(1)'!E:E,0))," ")</f>
        <v> </v>
      </c>
      <c r="Q13" s="14" t="str">
        <f>IFERROR(VLOOKUP(O13,상품코드!A:B,2,0)," ")</f>
        <v>WHFW607DBKX</v>
      </c>
      <c r="R13" s="15" t="str">
        <f t="shared" si="1"/>
        <v>WHFW607D</v>
      </c>
      <c r="S13" s="16"/>
    </row>
    <row r="14" ht="15" customHeight="1" spans="1:19" x14ac:dyDescent="0.25">
      <c r="A14" s="16"/>
      <c r="B14" s="16"/>
      <c r="C14" s="17">
        <v>72793775</v>
      </c>
      <c r="D14" s="16"/>
      <c r="E14" s="9" t="s">
        <v>30</v>
      </c>
      <c r="F14" s="16"/>
      <c r="G14" s="16"/>
      <c r="H14" s="7" t="str">
        <f>IFERROR(VLOOKUP(E14,배송지!A:C,3,0)," ")</f>
        <v>070-5158-8147</v>
      </c>
      <c r="I14" s="18"/>
      <c r="J14" s="7" t="str">
        <f>IFERROR(VLOOKUP(E14,배송지!A:C,2,0)," ")</f>
        <v>경기도 이천시 대월면 대장로 190 3층 (택배수령담당자 : 070-5158-8147)</v>
      </c>
      <c r="K14" s="18"/>
      <c r="L14" s="10" t="str">
        <f t="shared" si="0"/>
        <v>니트 보닛햇 허슬리아 오트밀  </v>
      </c>
      <c r="M14" s="17">
        <v>1</v>
      </c>
      <c r="N14" s="19" t="e">
        <f>INDEX('상품정보(1)'!R:R,MATCH(양식!O14,'상품정보(1)'!E:E,0))</f>
        <v>#N/A</v>
      </c>
      <c r="O14" s="9" t="s">
        <v>28</v>
      </c>
      <c r="P14" s="13" t="str">
        <f>IFERROR(INDEX('상품정보(1)'!F:F,MATCH(양식!O14,'상품정보(1)'!E:E,0))," ")</f>
        <v> </v>
      </c>
      <c r="Q14" s="14" t="str">
        <f>IFERROR(VLOOKUP(O14,상품코드!A:B,2,0)," ")</f>
        <v>WHFW607DOTX</v>
      </c>
      <c r="R14" s="15" t="str">
        <f t="shared" si="1"/>
        <v>WHFW607D</v>
      </c>
      <c r="S14" s="16"/>
    </row>
    <row r="15" ht="15" customHeight="1" spans="1:19" x14ac:dyDescent="0.25">
      <c r="A15" s="16"/>
      <c r="B15" s="16"/>
      <c r="C15" s="17">
        <v>72801494</v>
      </c>
      <c r="D15" s="16"/>
      <c r="E15" s="17" t="s">
        <v>34</v>
      </c>
      <c r="F15" s="16"/>
      <c r="G15" s="16"/>
      <c r="H15" s="7" t="str">
        <f>IFERROR(VLOOKUP(E15,배송지!A:C,3,0)," ")</f>
        <v>070-4915-9269</v>
      </c>
      <c r="I15" s="18"/>
      <c r="J15" s="7" t="str">
        <f>IFERROR(VLOOKUP(E15,배송지!A:C,2,0)," ")</f>
        <v>경상북도 칠곡군 지천면 연화리 700번지 영남복함물류 9동 쿠팡 제6물류센터 (택배수령담당자 : 070-4915-9269)</v>
      </c>
      <c r="K15" s="18"/>
      <c r="L15" s="10" t="str">
        <f t="shared" si="0"/>
        <v>니트 보닛햇 허슬리아 블랙  </v>
      </c>
      <c r="M15" s="17">
        <v>1</v>
      </c>
      <c r="N15" s="19" t="e">
        <f>INDEX('상품정보(1)'!R:R,MATCH(양식!O15,'상품정보(1)'!E:E,0))</f>
        <v>#N/A</v>
      </c>
      <c r="O15" s="9" t="s">
        <v>22</v>
      </c>
      <c r="P15" s="13" t="str">
        <f>IFERROR(INDEX('상품정보(1)'!F:F,MATCH(양식!O15,'상품정보(1)'!E:E,0))," ")</f>
        <v> </v>
      </c>
      <c r="Q15" s="14" t="str">
        <f>IFERROR(VLOOKUP(O15,상품코드!A:B,2,0)," ")</f>
        <v>WHFW607DBKX</v>
      </c>
      <c r="R15" s="15" t="str">
        <f t="shared" si="1"/>
        <v>WHFW607D</v>
      </c>
      <c r="S15" s="16"/>
    </row>
  </sheetData>
  <pageMargins left="0.7" right="0.7" top="0.75" bottom="0.75" header="0.3" footer="0.3"/>
  <pageSetup paperSize="9" orientation="portrait" horizontalDpi="4294967295" verticalDpi="0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96"/>
  <sheetViews>
    <sheetView workbookViewId="0" showGridLines="0" zoomScale="85" zoomScaleNormal="85">
      <selection activeCell="H18" sqref="H18"/>
    </sheetView>
  </sheetViews>
  <sheetFormatPr defaultRowHeight="15" outlineLevelRow="0" outlineLevelCol="0" x14ac:dyDescent="0"/>
  <cols>
    <col min="1" max="1" width="13.625" style="32" customWidth="1"/>
    <col min="2" max="2" width="11.875" style="33" customWidth="1"/>
    <col min="3" max="3" width="21.875" style="33" customWidth="1"/>
    <col min="4" max="4" width="16" style="34" customWidth="1"/>
    <col min="5" max="5" width="14.375" style="34" customWidth="1"/>
    <col min="6" max="6" width="8" style="34" customWidth="1"/>
    <col min="7" max="7" width="18.5" style="35" customWidth="1"/>
    <col min="8" max="8" width="14.25" style="33" customWidth="1"/>
    <col min="9" max="9" width="11.5" style="34" customWidth="1"/>
    <col min="10" max="10" width="14.125" style="34" customWidth="1"/>
    <col min="11" max="11" width="12.375" style="34" customWidth="1"/>
    <col min="12" max="12" width="85.125" style="34" customWidth="1"/>
    <col min="13" max="13" width="4" style="34" customWidth="1"/>
    <col min="14" max="14" width="7.25" style="33" customWidth="1"/>
    <col min="15" max="15" width="81" style="34" customWidth="1"/>
    <col min="16" max="16" width="21.75" style="34" customWidth="1"/>
    <col min="17" max="17" width="14.375" style="33" customWidth="1"/>
    <col min="18" max="18" width="18.875" style="34" customWidth="1"/>
    <col min="19" max="19" width="23.875" style="34" customWidth="1"/>
    <col min="20" max="20" width="21.75" style="34" customWidth="1"/>
    <col min="21" max="16384" width="9" style="34" customWidth="1"/>
  </cols>
  <sheetData>
    <row r="1" ht="15" customHeight="1" spans="1:24" x14ac:dyDescent="0.25">
      <c r="A1" s="36" t="s">
        <v>0</v>
      </c>
      <c r="B1" s="37" t="s">
        <v>38</v>
      </c>
      <c r="C1" s="38" t="s">
        <v>2</v>
      </c>
      <c r="D1" s="37" t="s">
        <v>3</v>
      </c>
      <c r="E1" s="37" t="s">
        <v>4</v>
      </c>
      <c r="F1" s="37" t="s">
        <v>5</v>
      </c>
      <c r="G1" s="39" t="s">
        <v>39</v>
      </c>
      <c r="H1" s="38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8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40</v>
      </c>
      <c r="U1" s="37" t="s">
        <v>41</v>
      </c>
      <c r="V1" s="37" t="s">
        <v>42</v>
      </c>
      <c r="W1" s="37" t="s">
        <v>43</v>
      </c>
      <c r="X1" s="37" t="s">
        <v>44</v>
      </c>
    </row>
    <row r="2" ht="15" customHeight="1" spans="1:24" x14ac:dyDescent="0.25">
      <c r="A2" s="40"/>
      <c r="B2" s="41"/>
      <c r="C2" s="42"/>
      <c r="D2" s="43"/>
      <c r="E2" s="10"/>
      <c r="F2" s="44"/>
      <c r="G2" s="45"/>
      <c r="H2" s="46" t="str">
        <f>IFERROR(VLOOKUP(E2,배송지!A:C,3,0)," ")</f>
        <v> </v>
      </c>
      <c r="I2" s="44"/>
      <c r="J2" s="44" t="str">
        <f>IFERROR(VLOOKUP(E2,배송지!A:C,2,0)," ")</f>
        <v> </v>
      </c>
      <c r="K2" s="44"/>
      <c r="L2" s="44" t="str">
        <f t="shared" ref="L2" si="0">O2&amp;" "&amp;P2</f>
        <v>  </v>
      </c>
      <c r="M2" s="47"/>
      <c r="N2" s="44" t="str">
        <f> IFERROR(INDEX('상품정보(1)'!R:R,MATCH(발주서!P2,'상품정보(1)'!F:F,0))," ")</f>
        <v> </v>
      </c>
      <c r="O2" s="48"/>
      <c r="P2" s="44" t="str">
        <f>IFERROR(INDEX('상품정보(1)'!F:F,MATCH(발주서!O2,'상품정보(1)'!E:E,0))," ")</f>
        <v> </v>
      </c>
      <c r="Q2" s="49"/>
      <c r="R2" s="44">
        <f t="shared" ref="R2" si="1">LEFT(T2,8)</f>
      </c>
      <c r="S2" s="44"/>
      <c r="T2" s="44">
        <f t="shared" ref="T2" si="2">IF(Q2="","",Q2)</f>
      </c>
      <c r="U2" s="44"/>
      <c r="V2" s="44"/>
      <c r="W2" s="44"/>
      <c r="X2" s="44"/>
    </row>
    <row r="3" ht="15" customHeight="1" spans="1:24" x14ac:dyDescent="0.25">
      <c r="A3" s="40"/>
      <c r="B3" s="41"/>
      <c r="C3" s="42"/>
      <c r="D3" s="43"/>
      <c r="E3" s="10"/>
      <c r="F3" s="44"/>
      <c r="G3" s="45"/>
      <c r="H3" s="46" t="str">
        <f>IFERROR(VLOOKUP(E3,배송지!A:C,3,0)," ")</f>
        <v> </v>
      </c>
      <c r="I3" s="44"/>
      <c r="J3" s="44" t="str">
        <f>IFERROR(VLOOKUP(E3,배송지!A:C,2,0)," ")</f>
        <v> </v>
      </c>
      <c r="K3" s="44"/>
      <c r="L3" s="44" t="str">
        <f t="shared" ref="L3:L66" si="3">O3&amp;" "&amp;P3</f>
        <v>  </v>
      </c>
      <c r="M3" s="47"/>
      <c r="N3" s="44" t="str">
        <f> IFERROR(INDEX('상품정보(1)'!R:R,MATCH(발주서!P3,'상품정보(1)'!F:F,0))," ")</f>
        <v> </v>
      </c>
      <c r="O3" s="48"/>
      <c r="P3" s="44" t="str">
        <f>IFERROR(INDEX('상품정보(1)'!F:F,MATCH(발주서!O3,'상품정보(1)'!E:E,0))," ")</f>
        <v> </v>
      </c>
      <c r="Q3" s="49"/>
      <c r="R3" s="44">
        <f t="shared" ref="R3:R66" si="4">LEFT(T3,8)</f>
      </c>
      <c r="S3" s="44"/>
      <c r="T3" s="44">
        <f t="shared" ref="T3:T66" si="5">IF(Q3="","",Q3)</f>
      </c>
      <c r="U3" s="44"/>
      <c r="V3" s="44"/>
      <c r="W3" s="44"/>
      <c r="X3" s="44"/>
    </row>
    <row r="4" ht="15" customHeight="1" spans="1:24" x14ac:dyDescent="0.25">
      <c r="A4" s="40"/>
      <c r="B4" s="41"/>
      <c r="C4" s="42"/>
      <c r="D4" s="43"/>
      <c r="E4" s="10"/>
      <c r="F4" s="44"/>
      <c r="G4" s="45"/>
      <c r="H4" s="46" t="str">
        <f>IFERROR(VLOOKUP(E4,배송지!A:C,3,0)," ")</f>
        <v> </v>
      </c>
      <c r="I4" s="44"/>
      <c r="J4" s="44" t="str">
        <f>IFERROR(VLOOKUP(E4,배송지!A:C,2,0)," ")</f>
        <v> </v>
      </c>
      <c r="K4" s="44"/>
      <c r="L4" s="44" t="str">
        <f t="shared" si="3"/>
        <v>  </v>
      </c>
      <c r="M4" s="47"/>
      <c r="N4" s="44" t="str">
        <f> IFERROR(INDEX('상품정보(1)'!R:R,MATCH(발주서!P4,'상품정보(1)'!F:F,0))," ")</f>
        <v> </v>
      </c>
      <c r="O4" s="48"/>
      <c r="P4" s="44" t="str">
        <f>IFERROR(INDEX('상품정보(1)'!F:F,MATCH(발주서!O4,'상품정보(1)'!E:E,0))," ")</f>
        <v> </v>
      </c>
      <c r="Q4" s="49"/>
      <c r="R4" s="44">
        <f t="shared" si="4"/>
      </c>
      <c r="S4" s="44"/>
      <c r="T4" s="44">
        <f t="shared" si="5"/>
      </c>
      <c r="U4" s="44"/>
      <c r="V4" s="44"/>
      <c r="W4" s="44"/>
      <c r="X4" s="44"/>
    </row>
    <row r="5" ht="15" customHeight="1" spans="1:24" x14ac:dyDescent="0.25">
      <c r="A5" s="40"/>
      <c r="B5" s="41"/>
      <c r="C5" s="42"/>
      <c r="D5" s="43"/>
      <c r="E5" s="10"/>
      <c r="F5" s="44"/>
      <c r="G5" s="45"/>
      <c r="H5" s="46" t="str">
        <f>IFERROR(VLOOKUP(E5,배송지!A:C,3,0)," ")</f>
        <v> </v>
      </c>
      <c r="I5" s="44"/>
      <c r="J5" s="44" t="str">
        <f>IFERROR(VLOOKUP(E5,배송지!A:C,2,0)," ")</f>
        <v> </v>
      </c>
      <c r="K5" s="44"/>
      <c r="L5" s="44" t="str">
        <f t="shared" si="3"/>
        <v>  </v>
      </c>
      <c r="M5" s="47"/>
      <c r="N5" s="44" t="str">
        <f> IFERROR(INDEX('상품정보(1)'!R:R,MATCH(발주서!P5,'상품정보(1)'!F:F,0))," ")</f>
        <v> </v>
      </c>
      <c r="O5" s="48"/>
      <c r="P5" s="44" t="str">
        <f>IFERROR(INDEX('상품정보(1)'!F:F,MATCH(발주서!O5,'상품정보(1)'!E:E,0))," ")</f>
        <v> </v>
      </c>
      <c r="Q5" s="49"/>
      <c r="R5" s="44">
        <f t="shared" si="4"/>
      </c>
      <c r="S5" s="44"/>
      <c r="T5" s="44">
        <f t="shared" si="5"/>
      </c>
      <c r="U5" s="44"/>
      <c r="V5" s="44"/>
      <c r="W5" s="44"/>
      <c r="X5" s="44"/>
    </row>
    <row r="6" ht="15" customHeight="1" spans="1:24" x14ac:dyDescent="0.25">
      <c r="A6" s="40"/>
      <c r="B6" s="41"/>
      <c r="C6" s="42"/>
      <c r="D6" s="43"/>
      <c r="E6" s="10"/>
      <c r="F6" s="44"/>
      <c r="G6" s="45"/>
      <c r="H6" s="46" t="str">
        <f>IFERROR(VLOOKUP(E6,배송지!A:C,3,0)," ")</f>
        <v> </v>
      </c>
      <c r="I6" s="44"/>
      <c r="J6" s="44" t="str">
        <f>IFERROR(VLOOKUP(E6,배송지!A:C,2,0)," ")</f>
        <v> </v>
      </c>
      <c r="K6" s="44"/>
      <c r="L6" s="44" t="str">
        <f t="shared" si="3"/>
        <v>  </v>
      </c>
      <c r="M6" s="47"/>
      <c r="N6" s="44" t="str">
        <f> IFERROR(INDEX('상품정보(1)'!R:R,MATCH(발주서!P6,'상품정보(1)'!F:F,0))," ")</f>
        <v> </v>
      </c>
      <c r="O6" s="48"/>
      <c r="P6" s="44" t="str">
        <f>IFERROR(INDEX('상품정보(1)'!F:F,MATCH(발주서!O6,'상품정보(1)'!E:E,0))," ")</f>
        <v> </v>
      </c>
      <c r="Q6" s="49"/>
      <c r="R6" s="44">
        <f t="shared" si="4"/>
      </c>
      <c r="S6" s="44"/>
      <c r="T6" s="44">
        <f t="shared" si="5"/>
      </c>
      <c r="U6" s="44"/>
      <c r="V6" s="44"/>
      <c r="W6" s="44"/>
      <c r="X6" s="44"/>
    </row>
    <row r="7" ht="15" customHeight="1" spans="1:24" x14ac:dyDescent="0.25">
      <c r="A7" s="40"/>
      <c r="B7" s="41"/>
      <c r="C7" s="42"/>
      <c r="D7" s="43"/>
      <c r="E7" s="10"/>
      <c r="F7" s="44"/>
      <c r="G7" s="45"/>
      <c r="H7" s="46" t="str">
        <f>IFERROR(VLOOKUP(E7,배송지!A:C,3,0)," ")</f>
        <v> </v>
      </c>
      <c r="I7" s="44"/>
      <c r="J7" s="44" t="str">
        <f>IFERROR(VLOOKUP(E7,배송지!A:C,2,0)," ")</f>
        <v> </v>
      </c>
      <c r="K7" s="44"/>
      <c r="L7" s="44" t="str">
        <f t="shared" si="3"/>
        <v>  </v>
      </c>
      <c r="M7" s="47"/>
      <c r="N7" s="44" t="str">
        <f> IFERROR(INDEX('상품정보(1)'!R:R,MATCH(발주서!P7,'상품정보(1)'!F:F,0))," ")</f>
        <v> </v>
      </c>
      <c r="O7" s="48"/>
      <c r="P7" s="44" t="str">
        <f>IFERROR(INDEX('상품정보(1)'!F:F,MATCH(발주서!O7,'상품정보(1)'!E:E,0))," ")</f>
        <v> </v>
      </c>
      <c r="Q7" s="49"/>
      <c r="R7" s="44">
        <f t="shared" si="4"/>
      </c>
      <c r="S7" s="44"/>
      <c r="T7" s="44">
        <f t="shared" si="5"/>
      </c>
      <c r="U7" s="44"/>
      <c r="V7" s="44"/>
      <c r="W7" s="44"/>
      <c r="X7" s="44"/>
    </row>
    <row r="8" ht="15" customHeight="1" spans="1:24" x14ac:dyDescent="0.25">
      <c r="A8" s="40"/>
      <c r="B8" s="41"/>
      <c r="C8" s="42"/>
      <c r="D8" s="43"/>
      <c r="E8" s="10"/>
      <c r="F8" s="44"/>
      <c r="G8" s="45"/>
      <c r="H8" s="46" t="str">
        <f>IFERROR(VLOOKUP(E8,배송지!A:C,3,0)," ")</f>
        <v> </v>
      </c>
      <c r="I8" s="44"/>
      <c r="J8" s="44" t="str">
        <f>IFERROR(VLOOKUP(E8,배송지!A:C,2,0)," ")</f>
        <v> </v>
      </c>
      <c r="K8" s="44"/>
      <c r="L8" s="44" t="str">
        <f t="shared" si="3"/>
        <v>  </v>
      </c>
      <c r="M8" s="47"/>
      <c r="N8" s="44" t="str">
        <f> IFERROR(INDEX('상품정보(1)'!R:R,MATCH(발주서!P8,'상품정보(1)'!F:F,0))," ")</f>
        <v> </v>
      </c>
      <c r="O8" s="48"/>
      <c r="P8" s="44" t="str">
        <f>IFERROR(INDEX('상품정보(1)'!F:F,MATCH(발주서!O8,'상품정보(1)'!E:E,0))," ")</f>
        <v> </v>
      </c>
      <c r="Q8" s="49"/>
      <c r="R8" s="44">
        <f t="shared" si="4"/>
      </c>
      <c r="S8" s="44"/>
      <c r="T8" s="44">
        <f t="shared" si="5"/>
      </c>
      <c r="U8" s="44"/>
      <c r="V8" s="44"/>
      <c r="W8" s="44"/>
      <c r="X8" s="44"/>
    </row>
    <row r="9" ht="15" customHeight="1" spans="1:24" x14ac:dyDescent="0.25">
      <c r="A9" s="40"/>
      <c r="B9" s="41"/>
      <c r="C9" s="42"/>
      <c r="D9" s="43"/>
      <c r="E9" s="10"/>
      <c r="F9" s="44"/>
      <c r="G9" s="45"/>
      <c r="H9" s="46" t="str">
        <f>IFERROR(VLOOKUP(E9,배송지!A:C,3,0)," ")</f>
        <v> </v>
      </c>
      <c r="I9" s="44"/>
      <c r="J9" s="44" t="str">
        <f>IFERROR(VLOOKUP(E9,배송지!A:C,2,0)," ")</f>
        <v> </v>
      </c>
      <c r="K9" s="44"/>
      <c r="L9" s="44" t="str">
        <f t="shared" si="3"/>
        <v>  </v>
      </c>
      <c r="M9" s="47"/>
      <c r="N9" s="44" t="str">
        <f> IFERROR(INDEX('상품정보(1)'!R:R,MATCH(발주서!P9,'상품정보(1)'!F:F,0))," ")</f>
        <v> </v>
      </c>
      <c r="O9" s="48"/>
      <c r="P9" s="44" t="str">
        <f>IFERROR(INDEX('상품정보(1)'!F:F,MATCH(발주서!O9,'상품정보(1)'!E:E,0))," ")</f>
        <v> </v>
      </c>
      <c r="Q9" s="49"/>
      <c r="R9" s="44">
        <f t="shared" si="4"/>
      </c>
      <c r="S9" s="44"/>
      <c r="T9" s="44">
        <f t="shared" si="5"/>
      </c>
      <c r="U9" s="44"/>
      <c r="V9" s="44"/>
      <c r="W9" s="44"/>
      <c r="X9" s="44"/>
    </row>
    <row r="10" ht="15" customHeight="1" spans="1:24" x14ac:dyDescent="0.25">
      <c r="A10" s="40"/>
      <c r="B10" s="41"/>
      <c r="C10" s="42"/>
      <c r="D10" s="43"/>
      <c r="E10" s="10"/>
      <c r="F10" s="44"/>
      <c r="G10" s="45"/>
      <c r="H10" s="46" t="str">
        <f>IFERROR(VLOOKUP(E10,배송지!A:C,3,0)," ")</f>
        <v> </v>
      </c>
      <c r="I10" s="44"/>
      <c r="J10" s="44" t="str">
        <f>IFERROR(VLOOKUP(E10,배송지!A:C,2,0)," ")</f>
        <v> </v>
      </c>
      <c r="K10" s="44"/>
      <c r="L10" s="44" t="str">
        <f>O10&amp;" "&amp;P10</f>
        <v>  </v>
      </c>
      <c r="M10" s="47"/>
      <c r="N10" s="44" t="str">
        <f> IFERROR(INDEX('상품정보(1)'!R:R,MATCH(발주서!P10,'상품정보(1)'!F:F,0))," ")</f>
        <v> </v>
      </c>
      <c r="O10" s="48"/>
      <c r="P10" s="44" t="str">
        <f>IFERROR(INDEX('상품정보(1)'!F:F,MATCH(발주서!O10,'상품정보(1)'!E:E,0))," ")</f>
        <v> </v>
      </c>
      <c r="Q10" s="49"/>
      <c r="R10" s="44">
        <f t="shared" si="4"/>
      </c>
      <c r="S10" s="44"/>
      <c r="T10" s="44">
        <f t="shared" si="5"/>
      </c>
      <c r="U10" s="44"/>
      <c r="V10" s="44"/>
      <c r="W10" s="44"/>
      <c r="X10" s="44"/>
    </row>
    <row r="11" ht="15" customHeight="1" spans="1:24" x14ac:dyDescent="0.25">
      <c r="A11" s="40"/>
      <c r="B11" s="41"/>
      <c r="C11" s="42"/>
      <c r="D11" s="43"/>
      <c r="E11" s="10"/>
      <c r="F11" s="44"/>
      <c r="G11" s="45"/>
      <c r="H11" s="46" t="str">
        <f>IFERROR(VLOOKUP(E11,배송지!A:C,3,0)," ")</f>
        <v> </v>
      </c>
      <c r="I11" s="44"/>
      <c r="J11" s="44" t="str">
        <f>IFERROR(VLOOKUP(E11,배송지!A:C,2,0)," ")</f>
        <v> </v>
      </c>
      <c r="K11" s="44"/>
      <c r="L11" s="44" t="str">
        <f t="shared" si="3"/>
        <v>  </v>
      </c>
      <c r="M11" s="47"/>
      <c r="N11" s="44" t="str">
        <f> IFERROR(INDEX('상품정보(1)'!R:R,MATCH(발주서!P11,'상품정보(1)'!F:F,0))," ")</f>
        <v> </v>
      </c>
      <c r="O11" s="48"/>
      <c r="P11" s="44" t="str">
        <f>IFERROR(INDEX('상품정보(1)'!F:F,MATCH(발주서!O11,'상품정보(1)'!E:E,0))," ")</f>
        <v> </v>
      </c>
      <c r="Q11" s="49"/>
      <c r="R11" s="44">
        <f t="shared" si="4"/>
      </c>
      <c r="S11" s="44"/>
      <c r="T11" s="44">
        <f t="shared" si="5"/>
      </c>
      <c r="U11" s="44"/>
      <c r="V11" s="44"/>
      <c r="W11" s="44"/>
      <c r="X11" s="44"/>
    </row>
    <row r="12" ht="15" customHeight="1" spans="1:24" x14ac:dyDescent="0.25">
      <c r="A12" s="40"/>
      <c r="B12" s="41"/>
      <c r="C12" s="42"/>
      <c r="D12" s="43"/>
      <c r="E12" s="10"/>
      <c r="F12" s="44"/>
      <c r="G12" s="45"/>
      <c r="H12" s="46" t="str">
        <f>IFERROR(VLOOKUP(E12,배송지!A:C,3,0)," ")</f>
        <v> </v>
      </c>
      <c r="I12" s="44"/>
      <c r="J12" s="44" t="str">
        <f>IFERROR(VLOOKUP(E12,배송지!A:C,2,0)," ")</f>
        <v> </v>
      </c>
      <c r="K12" s="44"/>
      <c r="L12" s="44" t="str">
        <f t="shared" si="3"/>
        <v>  </v>
      </c>
      <c r="M12" s="47"/>
      <c r="N12" s="44" t="str">
        <f> IFERROR(INDEX('상품정보(1)'!R:R,MATCH(발주서!P12,'상품정보(1)'!F:F,0))," ")</f>
        <v> </v>
      </c>
      <c r="O12" s="48"/>
      <c r="P12" s="44" t="str">
        <f>IFERROR(INDEX('상품정보(1)'!F:F,MATCH(발주서!O12,'상품정보(1)'!E:E,0))," ")</f>
        <v> </v>
      </c>
      <c r="Q12" s="49"/>
      <c r="R12" s="44">
        <f t="shared" si="4"/>
      </c>
      <c r="S12" s="44"/>
      <c r="T12" s="44">
        <f t="shared" si="5"/>
      </c>
      <c r="U12" s="44"/>
      <c r="V12" s="44"/>
      <c r="W12" s="44"/>
      <c r="X12" s="44"/>
    </row>
    <row r="13" ht="15" customHeight="1" spans="1:24" x14ac:dyDescent="0.25">
      <c r="A13" s="40"/>
      <c r="B13" s="41"/>
      <c r="C13" s="42"/>
      <c r="D13" s="43"/>
      <c r="E13" s="10"/>
      <c r="F13" s="44"/>
      <c r="G13" s="45"/>
      <c r="H13" s="46" t="str">
        <f>IFERROR(VLOOKUP(E13,배송지!A:C,3,0)," ")</f>
        <v> </v>
      </c>
      <c r="I13" s="44"/>
      <c r="J13" s="44" t="str">
        <f>IFERROR(VLOOKUP(E13,배송지!A:C,2,0)," ")</f>
        <v> </v>
      </c>
      <c r="K13" s="44"/>
      <c r="L13" s="44" t="str">
        <f t="shared" si="3"/>
        <v>  </v>
      </c>
      <c r="M13" s="47"/>
      <c r="N13" s="44" t="str">
        <f> IFERROR(INDEX('상품정보(1)'!R:R,MATCH(발주서!P13,'상품정보(1)'!F:F,0))," ")</f>
        <v> </v>
      </c>
      <c r="O13" s="48"/>
      <c r="P13" s="44" t="str">
        <f>IFERROR(INDEX('상품정보(1)'!F:F,MATCH(발주서!O13,'상품정보(1)'!E:E,0))," ")</f>
        <v> </v>
      </c>
      <c r="Q13" s="49"/>
      <c r="R13" s="44">
        <f t="shared" si="4"/>
      </c>
      <c r="S13" s="44"/>
      <c r="T13" s="44">
        <f t="shared" si="5"/>
      </c>
      <c r="U13" s="44"/>
      <c r="V13" s="44"/>
      <c r="W13" s="44"/>
      <c r="X13" s="44"/>
    </row>
    <row r="14" ht="15" customHeight="1" spans="1:24" x14ac:dyDescent="0.25">
      <c r="A14" s="40"/>
      <c r="B14" s="41"/>
      <c r="C14" s="42"/>
      <c r="D14" s="43"/>
      <c r="E14" s="10"/>
      <c r="F14" s="44"/>
      <c r="G14" s="45"/>
      <c r="H14" s="46" t="str">
        <f>IFERROR(VLOOKUP(E14,배송지!A:C,3,0)," ")</f>
        <v> </v>
      </c>
      <c r="I14" s="44"/>
      <c r="J14" s="44" t="str">
        <f>IFERROR(VLOOKUP(E14,배송지!A:C,2,0)," ")</f>
        <v> </v>
      </c>
      <c r="K14" s="44"/>
      <c r="L14" s="44" t="str">
        <f t="shared" si="3"/>
        <v>  </v>
      </c>
      <c r="M14" s="47"/>
      <c r="N14" s="44" t="str">
        <f> IFERROR(INDEX('상품정보(1)'!R:R,MATCH(발주서!P14,'상품정보(1)'!F:F,0))," ")</f>
        <v> </v>
      </c>
      <c r="O14" s="48"/>
      <c r="P14" s="44" t="str">
        <f>IFERROR(INDEX('상품정보(1)'!F:F,MATCH(발주서!O14,'상품정보(1)'!E:E,0))," ")</f>
        <v> </v>
      </c>
      <c r="Q14" s="49"/>
      <c r="R14" s="44">
        <f t="shared" si="4"/>
      </c>
      <c r="S14" s="44"/>
      <c r="T14" s="44">
        <f t="shared" si="5"/>
      </c>
      <c r="U14" s="44"/>
      <c r="V14" s="44"/>
      <c r="W14" s="44"/>
      <c r="X14" s="44"/>
    </row>
    <row r="15" ht="15" customHeight="1" spans="1:24" x14ac:dyDescent="0.25">
      <c r="A15" s="40"/>
      <c r="B15" s="41"/>
      <c r="C15" s="42"/>
      <c r="D15" s="43"/>
      <c r="E15" s="10"/>
      <c r="F15" s="44"/>
      <c r="G15" s="45"/>
      <c r="H15" s="46" t="str">
        <f>IFERROR(VLOOKUP(E15,배송지!A:C,3,0)," ")</f>
        <v> </v>
      </c>
      <c r="I15" s="44"/>
      <c r="J15" s="44" t="str">
        <f>IFERROR(VLOOKUP(E15,배송지!A:C,2,0)," ")</f>
        <v> </v>
      </c>
      <c r="K15" s="44"/>
      <c r="L15" s="44" t="str">
        <f t="shared" si="3"/>
        <v>  </v>
      </c>
      <c r="M15" s="47"/>
      <c r="N15" s="44" t="str">
        <f> IFERROR(INDEX('상품정보(1)'!R:R,MATCH(발주서!P15,'상품정보(1)'!F:F,0))," ")</f>
        <v> </v>
      </c>
      <c r="O15" s="48"/>
      <c r="P15" s="44" t="str">
        <f>IFERROR(INDEX('상품정보(1)'!F:F,MATCH(발주서!O15,'상품정보(1)'!E:E,0))," ")</f>
        <v> </v>
      </c>
      <c r="Q15" s="49"/>
      <c r="R15" s="44">
        <f t="shared" si="4"/>
      </c>
      <c r="S15" s="44"/>
      <c r="T15" s="44">
        <f t="shared" si="5"/>
      </c>
      <c r="U15" s="44"/>
      <c r="V15" s="44"/>
      <c r="W15" s="44"/>
      <c r="X15" s="44"/>
    </row>
    <row r="16" ht="15" customHeight="1" spans="1:24" x14ac:dyDescent="0.25">
      <c r="A16" s="40"/>
      <c r="B16" s="41"/>
      <c r="C16" s="42"/>
      <c r="D16" s="43"/>
      <c r="E16" s="10"/>
      <c r="F16" s="44"/>
      <c r="G16" s="45"/>
      <c r="H16" s="46" t="str">
        <f>IFERROR(VLOOKUP(E16,배송지!A:C,3,0)," ")</f>
        <v> </v>
      </c>
      <c r="I16" s="44"/>
      <c r="J16" s="44" t="str">
        <f>IFERROR(VLOOKUP(E16,배송지!A:C,2,0)," ")</f>
        <v> </v>
      </c>
      <c r="K16" s="44"/>
      <c r="L16" s="44" t="str">
        <f t="shared" si="3"/>
        <v>  </v>
      </c>
      <c r="M16" s="47"/>
      <c r="N16" s="44" t="str">
        <f> IFERROR(INDEX('상품정보(1)'!R:R,MATCH(발주서!P16,'상품정보(1)'!F:F,0))," ")</f>
        <v> </v>
      </c>
      <c r="O16" s="48"/>
      <c r="P16" s="44" t="str">
        <f>IFERROR(INDEX('상품정보(1)'!F:F,MATCH(발주서!O16,'상품정보(1)'!E:E,0))," ")</f>
        <v> </v>
      </c>
      <c r="Q16" s="49"/>
      <c r="R16" s="44">
        <f t="shared" si="4"/>
      </c>
      <c r="S16" s="44"/>
      <c r="T16" s="44">
        <f t="shared" si="5"/>
      </c>
      <c r="U16" s="44"/>
      <c r="V16" s="44"/>
      <c r="W16" s="44"/>
      <c r="X16" s="44"/>
    </row>
    <row r="17" ht="15" customHeight="1" spans="1:24" x14ac:dyDescent="0.25">
      <c r="A17" s="40"/>
      <c r="B17" s="41"/>
      <c r="C17" s="42"/>
      <c r="D17" s="43"/>
      <c r="E17" s="10"/>
      <c r="F17" s="44"/>
      <c r="G17" s="45"/>
      <c r="H17" s="46" t="str">
        <f>IFERROR(VLOOKUP(E17,배송지!A:C,3,0)," ")</f>
        <v> </v>
      </c>
      <c r="I17" s="44"/>
      <c r="J17" s="44" t="str">
        <f>IFERROR(VLOOKUP(E17,배송지!A:C,2,0)," ")</f>
        <v> </v>
      </c>
      <c r="K17" s="44"/>
      <c r="L17" s="44" t="str">
        <f t="shared" si="3"/>
        <v>  </v>
      </c>
      <c r="M17" s="47"/>
      <c r="N17" s="44" t="str">
        <f> IFERROR(INDEX('상품정보(1)'!R:R,MATCH(발주서!P17,'상품정보(1)'!F:F,0))," ")</f>
        <v> </v>
      </c>
      <c r="O17" s="48"/>
      <c r="P17" s="44" t="str">
        <f>IFERROR(INDEX('상품정보(1)'!F:F,MATCH(발주서!O17,'상품정보(1)'!E:E,0))," ")</f>
        <v> </v>
      </c>
      <c r="Q17" s="49"/>
      <c r="R17" s="44">
        <f t="shared" si="4"/>
      </c>
      <c r="S17" s="44"/>
      <c r="T17" s="44">
        <f t="shared" si="5"/>
      </c>
      <c r="U17" s="44"/>
      <c r="V17" s="44"/>
      <c r="W17" s="44"/>
      <c r="X17" s="44"/>
    </row>
    <row r="18" ht="15" customHeight="1" spans="1:24" x14ac:dyDescent="0.25">
      <c r="A18" s="40"/>
      <c r="B18" s="41"/>
      <c r="C18" s="42"/>
      <c r="D18" s="43"/>
      <c r="E18" s="10"/>
      <c r="F18" s="44"/>
      <c r="G18" s="45"/>
      <c r="H18" s="46" t="str">
        <f>IFERROR(VLOOKUP(E18,배송지!A:C,3,0)," ")</f>
        <v> </v>
      </c>
      <c r="I18" s="44"/>
      <c r="J18" s="44" t="str">
        <f>IFERROR(VLOOKUP(E18,배송지!A:C,2,0)," ")</f>
        <v> </v>
      </c>
      <c r="K18" s="44"/>
      <c r="L18" s="44" t="str">
        <f t="shared" si="3"/>
        <v>  </v>
      </c>
      <c r="M18" s="47"/>
      <c r="N18" s="44" t="str">
        <f> IFERROR(INDEX('상품정보(1)'!R:R,MATCH(발주서!P18,'상품정보(1)'!F:F,0))," ")</f>
        <v> </v>
      </c>
      <c r="O18" s="48"/>
      <c r="P18" s="44" t="str">
        <f>IFERROR(INDEX('상품정보(1)'!F:F,MATCH(발주서!O18,'상품정보(1)'!E:E,0))," ")</f>
        <v> </v>
      </c>
      <c r="Q18" s="49"/>
      <c r="R18" s="44">
        <f t="shared" si="4"/>
      </c>
      <c r="S18" s="44"/>
      <c r="T18" s="44">
        <f t="shared" si="5"/>
      </c>
      <c r="U18" s="44"/>
      <c r="V18" s="44"/>
      <c r="W18" s="44"/>
      <c r="X18" s="44"/>
    </row>
    <row r="19" ht="15" customHeight="1" spans="1:24" x14ac:dyDescent="0.25">
      <c r="A19" s="40"/>
      <c r="B19" s="41"/>
      <c r="C19" s="42"/>
      <c r="D19" s="43"/>
      <c r="E19" s="10"/>
      <c r="F19" s="44"/>
      <c r="G19" s="45"/>
      <c r="H19" s="46" t="str">
        <f>IFERROR(VLOOKUP(E19,배송지!A:C,3,0)," ")</f>
        <v> </v>
      </c>
      <c r="I19" s="44"/>
      <c r="J19" s="44" t="str">
        <f>IFERROR(VLOOKUP(E19,배송지!A:C,2,0)," ")</f>
        <v> </v>
      </c>
      <c r="K19" s="44"/>
      <c r="L19" s="44" t="str">
        <f t="shared" si="3"/>
        <v>  </v>
      </c>
      <c r="M19" s="47"/>
      <c r="N19" s="44" t="str">
        <f> IFERROR(INDEX('상품정보(1)'!R:R,MATCH(발주서!P19,'상품정보(1)'!F:F,0))," ")</f>
        <v> </v>
      </c>
      <c r="O19" s="48"/>
      <c r="P19" s="44" t="str">
        <f>IFERROR(INDEX('상품정보(1)'!F:F,MATCH(발주서!O19,'상품정보(1)'!E:E,0))," ")</f>
        <v> </v>
      </c>
      <c r="Q19" s="49"/>
      <c r="R19" s="44">
        <f t="shared" si="4"/>
      </c>
      <c r="S19" s="44"/>
      <c r="T19" s="44">
        <f t="shared" si="5"/>
      </c>
      <c r="U19" s="44"/>
      <c r="V19" s="44"/>
      <c r="W19" s="44"/>
      <c r="X19" s="44"/>
    </row>
    <row r="20" ht="15" customHeight="1" spans="1:24" x14ac:dyDescent="0.25">
      <c r="A20" s="40"/>
      <c r="B20" s="41"/>
      <c r="C20" s="42"/>
      <c r="D20" s="43"/>
      <c r="E20" s="10"/>
      <c r="F20" s="44"/>
      <c r="G20" s="45"/>
      <c r="H20" s="46" t="str">
        <f>IFERROR(VLOOKUP(E20,배송지!A:C,3,0)," ")</f>
        <v> </v>
      </c>
      <c r="I20" s="44"/>
      <c r="J20" s="44" t="str">
        <f>IFERROR(VLOOKUP(E20,배송지!A:C,2,0)," ")</f>
        <v> </v>
      </c>
      <c r="K20" s="44"/>
      <c r="L20" s="44" t="str">
        <f t="shared" si="3"/>
        <v>  </v>
      </c>
      <c r="M20" s="47"/>
      <c r="N20" s="44" t="str">
        <f> IFERROR(INDEX('상품정보(1)'!R:R,MATCH(발주서!P20,'상품정보(1)'!F:F,0))," ")</f>
        <v> </v>
      </c>
      <c r="O20" s="48"/>
      <c r="P20" s="44" t="str">
        <f>IFERROR(INDEX('상품정보(1)'!F:F,MATCH(발주서!O20,'상품정보(1)'!E:E,0))," ")</f>
        <v> </v>
      </c>
      <c r="Q20" s="49"/>
      <c r="R20" s="44">
        <f t="shared" si="4"/>
      </c>
      <c r="S20" s="44"/>
      <c r="T20" s="44">
        <f t="shared" si="5"/>
      </c>
      <c r="U20" s="44"/>
      <c r="V20" s="44"/>
      <c r="W20" s="44"/>
      <c r="X20" s="44"/>
    </row>
    <row r="21" ht="15" customHeight="1" spans="1:24" x14ac:dyDescent="0.25">
      <c r="A21" s="40"/>
      <c r="B21" s="41"/>
      <c r="C21" s="42"/>
      <c r="D21" s="43"/>
      <c r="E21" s="10"/>
      <c r="F21" s="44"/>
      <c r="G21" s="45"/>
      <c r="H21" s="46" t="str">
        <f>IFERROR(VLOOKUP(E21,배송지!A:C,3,0)," ")</f>
        <v> </v>
      </c>
      <c r="I21" s="44"/>
      <c r="J21" s="44" t="str">
        <f>IFERROR(VLOOKUP(E21,배송지!A:C,2,0)," ")</f>
        <v> </v>
      </c>
      <c r="K21" s="44"/>
      <c r="L21" s="44" t="str">
        <f t="shared" si="3"/>
        <v>  </v>
      </c>
      <c r="M21" s="47"/>
      <c r="N21" s="44" t="str">
        <f> IFERROR(INDEX('상품정보(1)'!R:R,MATCH(발주서!P21,'상품정보(1)'!F:F,0))," ")</f>
        <v> </v>
      </c>
      <c r="O21" s="48"/>
      <c r="P21" s="44" t="str">
        <f>IFERROR(INDEX('상품정보(1)'!F:F,MATCH(발주서!O21,'상품정보(1)'!E:E,0))," ")</f>
        <v> </v>
      </c>
      <c r="Q21" s="49"/>
      <c r="R21" s="44">
        <f t="shared" si="4"/>
      </c>
      <c r="S21" s="44"/>
      <c r="T21" s="44">
        <f t="shared" si="5"/>
      </c>
      <c r="U21" s="44"/>
      <c r="V21" s="44"/>
      <c r="W21" s="44"/>
      <c r="X21" s="44"/>
    </row>
    <row r="22" ht="15" customHeight="1" spans="1:24" x14ac:dyDescent="0.25">
      <c r="A22" s="40"/>
      <c r="B22" s="41"/>
      <c r="C22" s="42"/>
      <c r="D22" s="43"/>
      <c r="E22" s="10"/>
      <c r="F22" s="44"/>
      <c r="G22" s="45"/>
      <c r="H22" s="46" t="str">
        <f>IFERROR(VLOOKUP(E22,배송지!A:C,3,0)," ")</f>
        <v> </v>
      </c>
      <c r="I22" s="44"/>
      <c r="J22" s="44" t="str">
        <f>IFERROR(VLOOKUP(E22,배송지!A:C,2,0)," ")</f>
        <v> </v>
      </c>
      <c r="K22" s="44"/>
      <c r="L22" s="44" t="str">
        <f t="shared" si="3"/>
        <v>  </v>
      </c>
      <c r="M22" s="47"/>
      <c r="N22" s="44" t="str">
        <f> IFERROR(INDEX('상품정보(1)'!R:R,MATCH(발주서!P22,'상품정보(1)'!F:F,0))," ")</f>
        <v> </v>
      </c>
      <c r="O22" s="48"/>
      <c r="P22" s="44" t="str">
        <f>IFERROR(INDEX('상품정보(1)'!F:F,MATCH(발주서!O22,'상품정보(1)'!E:E,0))," ")</f>
        <v> </v>
      </c>
      <c r="Q22" s="49"/>
      <c r="R22" s="44">
        <f t="shared" si="4"/>
      </c>
      <c r="S22" s="44"/>
      <c r="T22" s="44">
        <f t="shared" si="5"/>
      </c>
      <c r="U22" s="44"/>
      <c r="V22" s="44"/>
      <c r="W22" s="44"/>
      <c r="X22" s="44"/>
    </row>
    <row r="23" ht="15" customHeight="1" spans="1:24" x14ac:dyDescent="0.25">
      <c r="A23" s="40"/>
      <c r="B23" s="41"/>
      <c r="C23" s="42"/>
      <c r="D23" s="43"/>
      <c r="E23" s="10"/>
      <c r="F23" s="44"/>
      <c r="G23" s="45"/>
      <c r="H23" s="46" t="str">
        <f>IFERROR(VLOOKUP(E23,배송지!A:C,3,0)," ")</f>
        <v> </v>
      </c>
      <c r="I23" s="44"/>
      <c r="J23" s="44" t="str">
        <f>IFERROR(VLOOKUP(E23,배송지!A:C,2,0)," ")</f>
        <v> </v>
      </c>
      <c r="K23" s="44"/>
      <c r="L23" s="44" t="str">
        <f t="shared" si="3"/>
        <v>  </v>
      </c>
      <c r="M23" s="47"/>
      <c r="N23" s="44" t="str">
        <f> IFERROR(INDEX('상품정보(1)'!R:R,MATCH(발주서!P23,'상품정보(1)'!F:F,0))," ")</f>
        <v> </v>
      </c>
      <c r="O23" s="48"/>
      <c r="P23" s="44" t="str">
        <f>IFERROR(INDEX('상품정보(1)'!F:F,MATCH(발주서!O23,'상품정보(1)'!E:E,0))," ")</f>
        <v> </v>
      </c>
      <c r="Q23" s="49"/>
      <c r="R23" s="44">
        <f t="shared" si="4"/>
      </c>
      <c r="S23" s="44"/>
      <c r="T23" s="44">
        <f t="shared" si="5"/>
      </c>
      <c r="U23" s="44"/>
      <c r="V23" s="44"/>
      <c r="W23" s="44"/>
      <c r="X23" s="44"/>
    </row>
    <row r="24" ht="15" customHeight="1" spans="1:24" x14ac:dyDescent="0.25">
      <c r="A24" s="40"/>
      <c r="B24" s="41"/>
      <c r="C24" s="42"/>
      <c r="D24" s="43"/>
      <c r="E24" s="10"/>
      <c r="F24" s="44"/>
      <c r="G24" s="45"/>
      <c r="H24" s="46" t="str">
        <f>IFERROR(VLOOKUP(E24,배송지!A:C,3,0)," ")</f>
        <v> </v>
      </c>
      <c r="I24" s="44"/>
      <c r="J24" s="44" t="str">
        <f>IFERROR(VLOOKUP(E24,배송지!A:C,2,0)," ")</f>
        <v> </v>
      </c>
      <c r="K24" s="44"/>
      <c r="L24" s="44" t="str">
        <f t="shared" si="3"/>
        <v>  </v>
      </c>
      <c r="M24" s="47"/>
      <c r="N24" s="44" t="str">
        <f> IFERROR(INDEX('상품정보(1)'!R:R,MATCH(발주서!P24,'상품정보(1)'!F:F,0))," ")</f>
        <v> </v>
      </c>
      <c r="O24" s="48"/>
      <c r="P24" s="44" t="str">
        <f>IFERROR(INDEX('상품정보(1)'!F:F,MATCH(발주서!O24,'상품정보(1)'!E:E,0))," ")</f>
        <v> </v>
      </c>
      <c r="Q24" s="49"/>
      <c r="R24" s="44">
        <f t="shared" si="4"/>
      </c>
      <c r="S24" s="44"/>
      <c r="T24" s="44">
        <f t="shared" si="5"/>
      </c>
      <c r="U24" s="44"/>
      <c r="V24" s="44"/>
      <c r="W24" s="44"/>
      <c r="X24" s="44"/>
    </row>
    <row r="25" ht="15" customHeight="1" spans="1:24" x14ac:dyDescent="0.25">
      <c r="A25" s="40"/>
      <c r="B25" s="41"/>
      <c r="C25" s="42"/>
      <c r="D25" s="43"/>
      <c r="E25" s="10"/>
      <c r="F25" s="44"/>
      <c r="G25" s="45"/>
      <c r="H25" s="46" t="str">
        <f>IFERROR(VLOOKUP(E25,배송지!A:C,3,0)," ")</f>
        <v> </v>
      </c>
      <c r="I25" s="44"/>
      <c r="J25" s="44" t="str">
        <f>IFERROR(VLOOKUP(E25,배송지!A:C,2,0)," ")</f>
        <v> </v>
      </c>
      <c r="K25" s="44"/>
      <c r="L25" s="44" t="str">
        <f t="shared" si="3"/>
        <v>  </v>
      </c>
      <c r="M25" s="47"/>
      <c r="N25" s="44" t="str">
        <f> IFERROR(INDEX('상품정보(1)'!R:R,MATCH(발주서!P25,'상품정보(1)'!F:F,0))," ")</f>
        <v> </v>
      </c>
      <c r="O25" s="48"/>
      <c r="P25" s="44" t="str">
        <f>IFERROR(INDEX('상품정보(1)'!F:F,MATCH(발주서!O25,'상품정보(1)'!E:E,0))," ")</f>
        <v> </v>
      </c>
      <c r="Q25" s="49"/>
      <c r="R25" s="44">
        <f t="shared" si="4"/>
      </c>
      <c r="S25" s="44"/>
      <c r="T25" s="44">
        <f t="shared" si="5"/>
      </c>
      <c r="U25" s="44"/>
      <c r="V25" s="44"/>
      <c r="W25" s="44"/>
      <c r="X25" s="44"/>
    </row>
    <row r="26" ht="15" customHeight="1" spans="1:24" x14ac:dyDescent="0.25">
      <c r="A26" s="40"/>
      <c r="B26" s="41"/>
      <c r="C26" s="42"/>
      <c r="D26" s="43"/>
      <c r="E26" s="10"/>
      <c r="F26" s="44"/>
      <c r="G26" s="45"/>
      <c r="H26" s="46" t="str">
        <f>IFERROR(VLOOKUP(E26,배송지!A:C,3,0)," ")</f>
        <v> </v>
      </c>
      <c r="I26" s="44"/>
      <c r="J26" s="44" t="str">
        <f>IFERROR(VLOOKUP(E26,배송지!A:C,2,0)," ")</f>
        <v> </v>
      </c>
      <c r="K26" s="44"/>
      <c r="L26" s="44" t="str">
        <f t="shared" si="3"/>
        <v>  </v>
      </c>
      <c r="M26" s="47"/>
      <c r="N26" s="44" t="str">
        <f> IFERROR(INDEX('상품정보(1)'!R:R,MATCH(발주서!P26,'상품정보(1)'!F:F,0))," ")</f>
        <v> </v>
      </c>
      <c r="O26" s="48"/>
      <c r="P26" s="44" t="str">
        <f>IFERROR(INDEX('상품정보(1)'!F:F,MATCH(발주서!O26,'상품정보(1)'!E:E,0))," ")</f>
        <v> </v>
      </c>
      <c r="Q26" s="49"/>
      <c r="R26" s="44">
        <f t="shared" si="4"/>
      </c>
      <c r="S26" s="44"/>
      <c r="T26" s="44">
        <f t="shared" si="5"/>
      </c>
      <c r="U26" s="44"/>
      <c r="V26" s="44"/>
      <c r="W26" s="44"/>
      <c r="X26" s="44"/>
    </row>
    <row r="27" ht="15" customHeight="1" spans="1:24" x14ac:dyDescent="0.25">
      <c r="A27" s="40"/>
      <c r="B27" s="41"/>
      <c r="C27" s="42"/>
      <c r="D27" s="43"/>
      <c r="E27" s="10"/>
      <c r="F27" s="44"/>
      <c r="G27" s="45"/>
      <c r="H27" s="46" t="str">
        <f>IFERROR(VLOOKUP(E27,배송지!A:C,3,0)," ")</f>
        <v> </v>
      </c>
      <c r="I27" s="44"/>
      <c r="J27" s="44" t="str">
        <f>IFERROR(VLOOKUP(E27,배송지!A:C,2,0)," ")</f>
        <v> </v>
      </c>
      <c r="K27" s="44"/>
      <c r="L27" s="44" t="str">
        <f t="shared" si="3"/>
        <v>  </v>
      </c>
      <c r="M27" s="47"/>
      <c r="N27" s="44" t="str">
        <f> IFERROR(INDEX('상품정보(1)'!R:R,MATCH(발주서!P27,'상품정보(1)'!F:F,0))," ")</f>
        <v> </v>
      </c>
      <c r="O27" s="48"/>
      <c r="P27" s="44" t="str">
        <f>IFERROR(INDEX('상품정보(1)'!F:F,MATCH(발주서!O27,'상품정보(1)'!E:E,0))," ")</f>
        <v> </v>
      </c>
      <c r="Q27" s="49"/>
      <c r="R27" s="44">
        <f t="shared" si="4"/>
      </c>
      <c r="S27" s="44"/>
      <c r="T27" s="44">
        <f t="shared" si="5"/>
      </c>
      <c r="U27" s="44"/>
      <c r="V27" s="44"/>
      <c r="W27" s="44"/>
      <c r="X27" s="44"/>
    </row>
    <row r="28" ht="15" customHeight="1" spans="1:24" x14ac:dyDescent="0.25">
      <c r="A28" s="40"/>
      <c r="B28" s="41"/>
      <c r="C28" s="42"/>
      <c r="D28" s="43"/>
      <c r="E28" s="10"/>
      <c r="F28" s="44"/>
      <c r="G28" s="45"/>
      <c r="H28" s="46" t="str">
        <f>IFERROR(VLOOKUP(E28,배송지!A:C,3,0)," ")</f>
        <v> </v>
      </c>
      <c r="I28" s="44"/>
      <c r="J28" s="44" t="str">
        <f>IFERROR(VLOOKUP(E28,배송지!A:C,2,0)," ")</f>
        <v> </v>
      </c>
      <c r="K28" s="44"/>
      <c r="L28" s="44" t="str">
        <f t="shared" si="3"/>
        <v>  </v>
      </c>
      <c r="M28" s="47"/>
      <c r="N28" s="44" t="str">
        <f> IFERROR(INDEX('상품정보(1)'!R:R,MATCH(발주서!P28,'상품정보(1)'!F:F,0))," ")</f>
        <v> </v>
      </c>
      <c r="O28" s="48"/>
      <c r="P28" s="44" t="str">
        <f>IFERROR(INDEX('상품정보(1)'!F:F,MATCH(발주서!O28,'상품정보(1)'!E:E,0))," ")</f>
        <v> </v>
      </c>
      <c r="Q28" s="49"/>
      <c r="R28" s="44">
        <f t="shared" si="4"/>
      </c>
      <c r="S28" s="44"/>
      <c r="T28" s="44">
        <f t="shared" si="5"/>
      </c>
      <c r="U28" s="44"/>
      <c r="V28" s="44"/>
      <c r="W28" s="44"/>
      <c r="X28" s="44"/>
    </row>
    <row r="29" ht="15" customHeight="1" spans="1:24" x14ac:dyDescent="0.25">
      <c r="A29" s="40"/>
      <c r="B29" s="41"/>
      <c r="C29" s="42"/>
      <c r="D29" s="43"/>
      <c r="E29" s="10"/>
      <c r="F29" s="44"/>
      <c r="G29" s="45"/>
      <c r="H29" s="46" t="str">
        <f>IFERROR(VLOOKUP(E29,배송지!A:C,3,0)," ")</f>
        <v> </v>
      </c>
      <c r="I29" s="44"/>
      <c r="J29" s="44" t="str">
        <f>IFERROR(VLOOKUP(E29,배송지!A:C,2,0)," ")</f>
        <v> </v>
      </c>
      <c r="K29" s="44"/>
      <c r="L29" s="44" t="str">
        <f t="shared" si="3"/>
        <v>  </v>
      </c>
      <c r="M29" s="47"/>
      <c r="N29" s="44" t="str">
        <f> IFERROR(INDEX('상품정보(1)'!R:R,MATCH(발주서!P29,'상품정보(1)'!F:F,0))," ")</f>
        <v> </v>
      </c>
      <c r="O29" s="48"/>
      <c r="P29" s="44" t="str">
        <f>IFERROR(INDEX('상품정보(1)'!F:F,MATCH(발주서!O29,'상품정보(1)'!E:E,0))," ")</f>
        <v> </v>
      </c>
      <c r="Q29" s="49"/>
      <c r="R29" s="44">
        <f t="shared" si="4"/>
      </c>
      <c r="S29" s="44"/>
      <c r="T29" s="44">
        <f t="shared" si="5"/>
      </c>
      <c r="U29" s="44"/>
      <c r="V29" s="44"/>
      <c r="W29" s="44"/>
      <c r="X29" s="44"/>
    </row>
    <row r="30" ht="15" customHeight="1" spans="1:24" x14ac:dyDescent="0.25">
      <c r="A30" s="40"/>
      <c r="B30" s="41"/>
      <c r="C30" s="42"/>
      <c r="D30" s="43"/>
      <c r="E30" s="10"/>
      <c r="F30" s="44"/>
      <c r="G30" s="45"/>
      <c r="H30" s="46" t="str">
        <f>IFERROR(VLOOKUP(E30,배송지!A:C,3,0)," ")</f>
        <v> </v>
      </c>
      <c r="I30" s="44"/>
      <c r="J30" s="44" t="str">
        <f>IFERROR(VLOOKUP(E30,배송지!A:C,2,0)," ")</f>
        <v> </v>
      </c>
      <c r="K30" s="44"/>
      <c r="L30" s="44" t="str">
        <f t="shared" si="3"/>
        <v>  </v>
      </c>
      <c r="M30" s="47"/>
      <c r="N30" s="44" t="str">
        <f> IFERROR(INDEX('상품정보(1)'!R:R,MATCH(발주서!P30,'상품정보(1)'!F:F,0))," ")</f>
        <v> </v>
      </c>
      <c r="O30" s="48"/>
      <c r="P30" s="44" t="str">
        <f>IFERROR(INDEX('상품정보(1)'!F:F,MATCH(발주서!O30,'상품정보(1)'!E:E,0))," ")</f>
        <v> </v>
      </c>
      <c r="Q30" s="49"/>
      <c r="R30" s="44">
        <f t="shared" si="4"/>
      </c>
      <c r="S30" s="44"/>
      <c r="T30" s="44">
        <f t="shared" si="5"/>
      </c>
      <c r="U30" s="44"/>
      <c r="V30" s="44"/>
      <c r="W30" s="44"/>
      <c r="X30" s="44"/>
    </row>
    <row r="31" ht="15" customHeight="1" spans="1:24" x14ac:dyDescent="0.25">
      <c r="A31" s="40"/>
      <c r="B31" s="41"/>
      <c r="C31" s="42"/>
      <c r="D31" s="43"/>
      <c r="E31" s="10"/>
      <c r="F31" s="44"/>
      <c r="G31" s="45"/>
      <c r="H31" s="46" t="str">
        <f>IFERROR(VLOOKUP(E31,배송지!A:C,3,0)," ")</f>
        <v> </v>
      </c>
      <c r="I31" s="44"/>
      <c r="J31" s="44" t="str">
        <f>IFERROR(VLOOKUP(E31,배송지!A:C,2,0)," ")</f>
        <v> </v>
      </c>
      <c r="K31" s="44"/>
      <c r="L31" s="44" t="str">
        <f t="shared" si="3"/>
        <v>  </v>
      </c>
      <c r="M31" s="47"/>
      <c r="N31" s="44" t="str">
        <f> IFERROR(INDEX('상품정보(1)'!R:R,MATCH(발주서!P31,'상품정보(1)'!F:F,0))," ")</f>
        <v> </v>
      </c>
      <c r="O31" s="48"/>
      <c r="P31" s="44" t="str">
        <f>IFERROR(INDEX('상품정보(1)'!F:F,MATCH(발주서!O31,'상품정보(1)'!E:E,0))," ")</f>
        <v> </v>
      </c>
      <c r="Q31" s="49"/>
      <c r="R31" s="44">
        <f t="shared" si="4"/>
      </c>
      <c r="S31" s="44"/>
      <c r="T31" s="44">
        <f t="shared" si="5"/>
      </c>
      <c r="U31" s="44"/>
      <c r="V31" s="44"/>
      <c r="W31" s="44"/>
      <c r="X31" s="44"/>
    </row>
    <row r="32" ht="15" customHeight="1" spans="1:24" x14ac:dyDescent="0.25">
      <c r="A32" s="40"/>
      <c r="B32" s="41"/>
      <c r="C32" s="42"/>
      <c r="D32" s="43"/>
      <c r="E32" s="10"/>
      <c r="F32" s="44"/>
      <c r="G32" s="45"/>
      <c r="H32" s="46" t="str">
        <f>IFERROR(VLOOKUP(E32,배송지!A:C,3,0)," ")</f>
        <v> </v>
      </c>
      <c r="I32" s="44"/>
      <c r="J32" s="44" t="str">
        <f>IFERROR(VLOOKUP(E32,배송지!A:C,2,0)," ")</f>
        <v> </v>
      </c>
      <c r="K32" s="44"/>
      <c r="L32" s="44" t="str">
        <f t="shared" si="3"/>
        <v>  </v>
      </c>
      <c r="M32" s="47"/>
      <c r="N32" s="44" t="str">
        <f> IFERROR(INDEX('상품정보(1)'!R:R,MATCH(발주서!P32,'상품정보(1)'!F:F,0))," ")</f>
        <v> </v>
      </c>
      <c r="O32" s="48"/>
      <c r="P32" s="44" t="str">
        <f>IFERROR(INDEX('상품정보(1)'!F:F,MATCH(발주서!O32,'상품정보(1)'!E:E,0))," ")</f>
        <v> </v>
      </c>
      <c r="Q32" s="49"/>
      <c r="R32" s="44">
        <f t="shared" si="4"/>
      </c>
      <c r="S32" s="44"/>
      <c r="T32" s="44">
        <f t="shared" si="5"/>
      </c>
      <c r="U32" s="44"/>
      <c r="V32" s="44"/>
      <c r="W32" s="44"/>
      <c r="X32" s="44"/>
    </row>
    <row r="33" ht="15" customHeight="1" spans="1:24" x14ac:dyDescent="0.25">
      <c r="A33" s="40"/>
      <c r="B33" s="41"/>
      <c r="C33" s="42"/>
      <c r="D33" s="43"/>
      <c r="E33" s="10"/>
      <c r="F33" s="44"/>
      <c r="G33" s="45"/>
      <c r="H33" s="46" t="str">
        <f>IFERROR(VLOOKUP(E33,배송지!A:C,3,0)," ")</f>
        <v> </v>
      </c>
      <c r="I33" s="44"/>
      <c r="J33" s="44" t="str">
        <f>IFERROR(VLOOKUP(E33,배송지!A:C,2,0)," ")</f>
        <v> </v>
      </c>
      <c r="K33" s="44"/>
      <c r="L33" s="44" t="str">
        <f t="shared" si="3"/>
        <v>  </v>
      </c>
      <c r="M33" s="47"/>
      <c r="N33" s="44" t="str">
        <f> IFERROR(INDEX('상품정보(1)'!R:R,MATCH(발주서!P33,'상품정보(1)'!F:F,0))," ")</f>
        <v> </v>
      </c>
      <c r="O33" s="48"/>
      <c r="P33" s="44" t="str">
        <f>IFERROR(INDEX('상품정보(1)'!F:F,MATCH(발주서!O33,'상품정보(1)'!E:E,0))," ")</f>
        <v> </v>
      </c>
      <c r="Q33" s="49"/>
      <c r="R33" s="44">
        <f t="shared" si="4"/>
      </c>
      <c r="S33" s="44"/>
      <c r="T33" s="44">
        <f t="shared" si="5"/>
      </c>
      <c r="U33" s="44"/>
      <c r="V33" s="44"/>
      <c r="W33" s="44"/>
      <c r="X33" s="44"/>
    </row>
    <row r="34" ht="15" customHeight="1" spans="1:24" x14ac:dyDescent="0.25">
      <c r="A34" s="40"/>
      <c r="B34" s="41"/>
      <c r="C34" s="42"/>
      <c r="D34" s="43"/>
      <c r="E34" s="10"/>
      <c r="F34" s="44"/>
      <c r="G34" s="45"/>
      <c r="H34" s="46" t="str">
        <f>IFERROR(VLOOKUP(E34,배송지!A:C,3,0)," ")</f>
        <v> </v>
      </c>
      <c r="I34" s="44"/>
      <c r="J34" s="44" t="str">
        <f>IFERROR(VLOOKUP(E34,배송지!A:C,2,0)," ")</f>
        <v> </v>
      </c>
      <c r="K34" s="44"/>
      <c r="L34" s="44" t="str">
        <f t="shared" si="3"/>
        <v>  </v>
      </c>
      <c r="M34" s="47"/>
      <c r="N34" s="44" t="str">
        <f> IFERROR(INDEX('상품정보(1)'!R:R,MATCH(발주서!P34,'상품정보(1)'!F:F,0))," ")</f>
        <v> </v>
      </c>
      <c r="O34" s="48"/>
      <c r="P34" s="44" t="str">
        <f>IFERROR(INDEX('상품정보(1)'!F:F,MATCH(발주서!O34,'상품정보(1)'!E:E,0))," ")</f>
        <v> </v>
      </c>
      <c r="Q34" s="49"/>
      <c r="R34" s="44">
        <f t="shared" si="4"/>
      </c>
      <c r="S34" s="44"/>
      <c r="T34" s="44">
        <f t="shared" si="5"/>
      </c>
      <c r="U34" s="44"/>
      <c r="V34" s="44"/>
      <c r="W34" s="44"/>
      <c r="X34" s="44"/>
    </row>
    <row r="35" ht="15" customHeight="1" spans="1:24" x14ac:dyDescent="0.25">
      <c r="A35" s="40"/>
      <c r="B35" s="41"/>
      <c r="C35" s="42"/>
      <c r="D35" s="43"/>
      <c r="E35" s="10"/>
      <c r="F35" s="44"/>
      <c r="G35" s="45"/>
      <c r="H35" s="46" t="str">
        <f>IFERROR(VLOOKUP(E35,배송지!A:C,3,0)," ")</f>
        <v> </v>
      </c>
      <c r="I35" s="44"/>
      <c r="J35" s="44" t="str">
        <f>IFERROR(VLOOKUP(E35,배송지!A:C,2,0)," ")</f>
        <v> </v>
      </c>
      <c r="K35" s="44"/>
      <c r="L35" s="44" t="str">
        <f t="shared" si="3"/>
        <v>  </v>
      </c>
      <c r="M35" s="47"/>
      <c r="N35" s="44" t="str">
        <f> IFERROR(INDEX('상품정보(1)'!R:R,MATCH(발주서!P35,'상품정보(1)'!F:F,0))," ")</f>
        <v> </v>
      </c>
      <c r="O35" s="48"/>
      <c r="P35" s="44" t="str">
        <f>IFERROR(INDEX('상품정보(1)'!F:F,MATCH(발주서!O35,'상품정보(1)'!E:E,0))," ")</f>
        <v> </v>
      </c>
      <c r="Q35" s="49"/>
      <c r="R35" s="44">
        <f t="shared" si="4"/>
      </c>
      <c r="S35" s="44"/>
      <c r="T35" s="44">
        <f t="shared" si="5"/>
      </c>
      <c r="U35" s="44"/>
      <c r="V35" s="44"/>
      <c r="W35" s="44"/>
      <c r="X35" s="44"/>
    </row>
    <row r="36" ht="15" customHeight="1" spans="1:24" x14ac:dyDescent="0.25">
      <c r="A36" s="40"/>
      <c r="B36" s="41"/>
      <c r="C36" s="42"/>
      <c r="D36" s="43"/>
      <c r="E36" s="10"/>
      <c r="F36" s="44"/>
      <c r="G36" s="45"/>
      <c r="H36" s="46" t="str">
        <f>IFERROR(VLOOKUP(E36,배송지!A:C,3,0)," ")</f>
        <v> </v>
      </c>
      <c r="I36" s="44"/>
      <c r="J36" s="44" t="str">
        <f>IFERROR(VLOOKUP(E36,배송지!A:C,2,0)," ")</f>
        <v> </v>
      </c>
      <c r="K36" s="44"/>
      <c r="L36" s="44" t="str">
        <f t="shared" si="3"/>
        <v>  </v>
      </c>
      <c r="M36" s="47"/>
      <c r="N36" s="44" t="str">
        <f> IFERROR(INDEX('상품정보(1)'!R:R,MATCH(발주서!P36,'상품정보(1)'!F:F,0))," ")</f>
        <v> </v>
      </c>
      <c r="O36" s="48"/>
      <c r="P36" s="44" t="str">
        <f>IFERROR(INDEX('상품정보(1)'!F:F,MATCH(발주서!O36,'상품정보(1)'!E:E,0))," ")</f>
        <v> </v>
      </c>
      <c r="Q36" s="49"/>
      <c r="R36" s="44">
        <f t="shared" si="4"/>
      </c>
      <c r="S36" s="44"/>
      <c r="T36" s="44">
        <f t="shared" si="5"/>
      </c>
      <c r="U36" s="44"/>
      <c r="V36" s="44"/>
      <c r="W36" s="44"/>
      <c r="X36" s="44"/>
    </row>
    <row r="37" ht="15" customHeight="1" spans="1:24" x14ac:dyDescent="0.25">
      <c r="A37" s="40"/>
      <c r="B37" s="41"/>
      <c r="C37" s="42"/>
      <c r="D37" s="43"/>
      <c r="E37" s="10"/>
      <c r="F37" s="44"/>
      <c r="G37" s="45"/>
      <c r="H37" s="46" t="str">
        <f>IFERROR(VLOOKUP(E37,배송지!A:C,3,0)," ")</f>
        <v> </v>
      </c>
      <c r="I37" s="44"/>
      <c r="J37" s="44" t="str">
        <f>IFERROR(VLOOKUP(E37,배송지!A:C,2,0)," ")</f>
        <v> </v>
      </c>
      <c r="K37" s="44"/>
      <c r="L37" s="44" t="str">
        <f t="shared" si="3"/>
        <v>  </v>
      </c>
      <c r="M37" s="47"/>
      <c r="N37" s="44" t="str">
        <f> IFERROR(INDEX('상품정보(1)'!R:R,MATCH(발주서!P37,'상품정보(1)'!F:F,0))," ")</f>
        <v> </v>
      </c>
      <c r="O37" s="48"/>
      <c r="P37" s="44" t="str">
        <f>IFERROR(INDEX('상품정보(1)'!F:F,MATCH(발주서!O37,'상품정보(1)'!E:E,0))," ")</f>
        <v> </v>
      </c>
      <c r="Q37" s="49"/>
      <c r="R37" s="44">
        <f t="shared" si="4"/>
      </c>
      <c r="S37" s="44"/>
      <c r="T37" s="44">
        <f t="shared" si="5"/>
      </c>
      <c r="U37" s="44"/>
      <c r="V37" s="44"/>
      <c r="W37" s="44"/>
      <c r="X37" s="44"/>
    </row>
    <row r="38" ht="15" customHeight="1" spans="1:24" x14ac:dyDescent="0.25">
      <c r="A38" s="40"/>
      <c r="B38" s="41"/>
      <c r="C38" s="42"/>
      <c r="D38" s="43"/>
      <c r="E38" s="10"/>
      <c r="F38" s="44"/>
      <c r="G38" s="45"/>
      <c r="H38" s="46" t="str">
        <f>IFERROR(VLOOKUP(E38,배송지!A:C,3,0)," ")</f>
        <v> </v>
      </c>
      <c r="I38" s="44"/>
      <c r="J38" s="44" t="str">
        <f>IFERROR(VLOOKUP(E38,배송지!A:C,2,0)," ")</f>
        <v> </v>
      </c>
      <c r="K38" s="44"/>
      <c r="L38" s="44" t="str">
        <f t="shared" si="3"/>
        <v>  </v>
      </c>
      <c r="M38" s="47"/>
      <c r="N38" s="44" t="str">
        <f> IFERROR(INDEX('상품정보(1)'!R:R,MATCH(발주서!P38,'상품정보(1)'!F:F,0))," ")</f>
        <v> </v>
      </c>
      <c r="O38" s="48"/>
      <c r="P38" s="44" t="str">
        <f>IFERROR(INDEX('상품정보(1)'!F:F,MATCH(발주서!O38,'상품정보(1)'!E:E,0))," ")</f>
        <v> </v>
      </c>
      <c r="Q38" s="49"/>
      <c r="R38" s="44">
        <f t="shared" si="4"/>
      </c>
      <c r="S38" s="44"/>
      <c r="T38" s="44">
        <f t="shared" si="5"/>
      </c>
      <c r="U38" s="44"/>
      <c r="V38" s="44"/>
      <c r="W38" s="44"/>
      <c r="X38" s="44"/>
    </row>
    <row r="39" ht="15" customHeight="1" spans="1:24" x14ac:dyDescent="0.25">
      <c r="A39" s="40"/>
      <c r="B39" s="41"/>
      <c r="C39" s="42"/>
      <c r="D39" s="43"/>
      <c r="E39" s="10"/>
      <c r="F39" s="44"/>
      <c r="G39" s="45"/>
      <c r="H39" s="46" t="str">
        <f>IFERROR(VLOOKUP(E39,배송지!A:C,3,0)," ")</f>
        <v> </v>
      </c>
      <c r="I39" s="44"/>
      <c r="J39" s="44" t="str">
        <f>IFERROR(VLOOKUP(E39,배송지!A:C,2,0)," ")</f>
        <v> </v>
      </c>
      <c r="K39" s="44"/>
      <c r="L39" s="44" t="str">
        <f t="shared" si="3"/>
        <v>  </v>
      </c>
      <c r="M39" s="47"/>
      <c r="N39" s="44" t="str">
        <f> IFERROR(INDEX('상품정보(1)'!R:R,MATCH(발주서!P39,'상품정보(1)'!F:F,0))," ")</f>
        <v> </v>
      </c>
      <c r="O39" s="48"/>
      <c r="P39" s="44" t="str">
        <f>IFERROR(INDEX('상품정보(1)'!F:F,MATCH(발주서!O39,'상품정보(1)'!E:E,0))," ")</f>
        <v> </v>
      </c>
      <c r="Q39" s="49"/>
      <c r="R39" s="44">
        <f t="shared" si="4"/>
      </c>
      <c r="S39" s="44"/>
      <c r="T39" s="44">
        <f t="shared" si="5"/>
      </c>
      <c r="U39" s="44"/>
      <c r="V39" s="44"/>
      <c r="W39" s="44"/>
      <c r="X39" s="44"/>
    </row>
    <row r="40" ht="15" customHeight="1" spans="1:24" x14ac:dyDescent="0.25">
      <c r="A40" s="40"/>
      <c r="B40" s="41"/>
      <c r="C40" s="42"/>
      <c r="D40" s="43"/>
      <c r="E40" s="10"/>
      <c r="F40" s="44"/>
      <c r="G40" s="45"/>
      <c r="H40" s="46" t="str">
        <f>IFERROR(VLOOKUP(E40,배송지!A:C,3,0)," ")</f>
        <v> </v>
      </c>
      <c r="I40" s="44"/>
      <c r="J40" s="44" t="str">
        <f>IFERROR(VLOOKUP(E40,배송지!A:C,2,0)," ")</f>
        <v> </v>
      </c>
      <c r="K40" s="44"/>
      <c r="L40" s="44" t="str">
        <f t="shared" si="3"/>
        <v>  </v>
      </c>
      <c r="M40" s="47"/>
      <c r="N40" s="44" t="str">
        <f> IFERROR(INDEX('상품정보(1)'!R:R,MATCH(발주서!P40,'상품정보(1)'!F:F,0))," ")</f>
        <v> </v>
      </c>
      <c r="O40" s="48"/>
      <c r="P40" s="44" t="str">
        <f>IFERROR(INDEX('상품정보(1)'!F:F,MATCH(발주서!O40,'상품정보(1)'!E:E,0))," ")</f>
        <v> </v>
      </c>
      <c r="Q40" s="49"/>
      <c r="R40" s="44">
        <f t="shared" si="4"/>
      </c>
      <c r="S40" s="44"/>
      <c r="T40" s="44">
        <f t="shared" si="5"/>
      </c>
      <c r="U40" s="44"/>
      <c r="V40" s="44"/>
      <c r="W40" s="44"/>
      <c r="X40" s="44"/>
    </row>
    <row r="41" ht="15" customHeight="1" spans="1:24" x14ac:dyDescent="0.25">
      <c r="A41" s="40"/>
      <c r="B41" s="41"/>
      <c r="C41" s="42"/>
      <c r="D41" s="43"/>
      <c r="E41" s="10"/>
      <c r="F41" s="44"/>
      <c r="G41" s="45"/>
      <c r="H41" s="46" t="str">
        <f>IFERROR(VLOOKUP(E41,배송지!A:C,3,0)," ")</f>
        <v> </v>
      </c>
      <c r="I41" s="44"/>
      <c r="J41" s="44" t="str">
        <f>IFERROR(VLOOKUP(E41,배송지!A:C,2,0)," ")</f>
        <v> </v>
      </c>
      <c r="K41" s="44"/>
      <c r="L41" s="44" t="str">
        <f t="shared" si="3"/>
        <v>  </v>
      </c>
      <c r="M41" s="47"/>
      <c r="N41" s="44" t="str">
        <f> IFERROR(INDEX('상품정보(1)'!R:R,MATCH(발주서!P41,'상품정보(1)'!F:F,0))," ")</f>
        <v> </v>
      </c>
      <c r="O41" s="48"/>
      <c r="P41" s="44" t="str">
        <f>IFERROR(INDEX('상품정보(1)'!F:F,MATCH(발주서!O41,'상품정보(1)'!E:E,0))," ")</f>
        <v> </v>
      </c>
      <c r="Q41" s="49"/>
      <c r="R41" s="44">
        <f t="shared" si="4"/>
      </c>
      <c r="S41" s="44"/>
      <c r="T41" s="44">
        <f t="shared" si="5"/>
      </c>
      <c r="U41" s="44"/>
      <c r="V41" s="44"/>
      <c r="W41" s="44"/>
      <c r="X41" s="44"/>
    </row>
    <row r="42" ht="15" customHeight="1" spans="1:24" x14ac:dyDescent="0.25">
      <c r="A42" s="40"/>
      <c r="B42" s="41"/>
      <c r="C42" s="42"/>
      <c r="D42" s="43"/>
      <c r="E42" s="10"/>
      <c r="F42" s="44"/>
      <c r="G42" s="45"/>
      <c r="H42" s="46" t="str">
        <f>IFERROR(VLOOKUP(E42,배송지!A:C,3,0)," ")</f>
        <v> </v>
      </c>
      <c r="I42" s="44"/>
      <c r="J42" s="44" t="str">
        <f>IFERROR(VLOOKUP(E42,배송지!A:C,2,0)," ")</f>
        <v> </v>
      </c>
      <c r="K42" s="44"/>
      <c r="L42" s="44" t="str">
        <f t="shared" si="3"/>
        <v>  </v>
      </c>
      <c r="M42" s="47"/>
      <c r="N42" s="44" t="str">
        <f> IFERROR(INDEX('상품정보(1)'!R:R,MATCH(발주서!P42,'상품정보(1)'!F:F,0))," ")</f>
        <v> </v>
      </c>
      <c r="O42" s="48"/>
      <c r="P42" s="44" t="str">
        <f>IFERROR(INDEX('상품정보(1)'!F:F,MATCH(발주서!O42,'상품정보(1)'!E:E,0))," ")</f>
        <v> </v>
      </c>
      <c r="Q42" s="49"/>
      <c r="R42" s="44">
        <f t="shared" si="4"/>
      </c>
      <c r="S42" s="44"/>
      <c r="T42" s="44">
        <f t="shared" si="5"/>
      </c>
      <c r="U42" s="44"/>
      <c r="V42" s="44"/>
      <c r="W42" s="44"/>
      <c r="X42" s="44"/>
    </row>
    <row r="43" ht="15" customHeight="1" spans="1:24" x14ac:dyDescent="0.25">
      <c r="A43" s="40"/>
      <c r="B43" s="41"/>
      <c r="C43" s="42"/>
      <c r="D43" s="43"/>
      <c r="E43" s="10"/>
      <c r="F43" s="44"/>
      <c r="G43" s="45"/>
      <c r="H43" s="46" t="str">
        <f>IFERROR(VLOOKUP(E43,배송지!A:C,3,0)," ")</f>
        <v> </v>
      </c>
      <c r="I43" s="44"/>
      <c r="J43" s="44" t="str">
        <f>IFERROR(VLOOKUP(E43,배송지!A:C,2,0)," ")</f>
        <v> </v>
      </c>
      <c r="K43" s="44"/>
      <c r="L43" s="44" t="str">
        <f t="shared" si="3"/>
        <v>  </v>
      </c>
      <c r="M43" s="47"/>
      <c r="N43" s="44" t="str">
        <f> IFERROR(INDEX('상품정보(1)'!R:R,MATCH(발주서!P43,'상품정보(1)'!F:F,0))," ")</f>
        <v> </v>
      </c>
      <c r="O43" s="48"/>
      <c r="P43" s="44" t="str">
        <f>IFERROR(INDEX('상품정보(1)'!F:F,MATCH(발주서!O43,'상품정보(1)'!E:E,0))," ")</f>
        <v> </v>
      </c>
      <c r="Q43" s="49"/>
      <c r="R43" s="44">
        <f t="shared" si="4"/>
      </c>
      <c r="S43" s="44"/>
      <c r="T43" s="44">
        <f t="shared" si="5"/>
      </c>
      <c r="U43" s="44"/>
      <c r="V43" s="44"/>
      <c r="W43" s="44"/>
      <c r="X43" s="44"/>
    </row>
    <row r="44" ht="15" customHeight="1" spans="1:24" x14ac:dyDescent="0.25">
      <c r="A44" s="40"/>
      <c r="B44" s="41"/>
      <c r="C44" s="42"/>
      <c r="D44" s="43"/>
      <c r="E44" s="10"/>
      <c r="F44" s="44"/>
      <c r="G44" s="45"/>
      <c r="H44" s="46" t="str">
        <f>IFERROR(VLOOKUP(E44,배송지!A:C,3,0)," ")</f>
        <v> </v>
      </c>
      <c r="I44" s="44"/>
      <c r="J44" s="44" t="str">
        <f>IFERROR(VLOOKUP(E44,배송지!A:C,2,0)," ")</f>
        <v> </v>
      </c>
      <c r="K44" s="44"/>
      <c r="L44" s="44" t="str">
        <f t="shared" si="3"/>
        <v>  </v>
      </c>
      <c r="M44" s="47"/>
      <c r="N44" s="44" t="str">
        <f> IFERROR(INDEX('상품정보(1)'!R:R,MATCH(발주서!P44,'상품정보(1)'!F:F,0))," ")</f>
        <v> </v>
      </c>
      <c r="O44" s="48"/>
      <c r="P44" s="44" t="str">
        <f>IFERROR(INDEX('상품정보(1)'!F:F,MATCH(발주서!O44,'상품정보(1)'!E:E,0))," ")</f>
        <v> </v>
      </c>
      <c r="Q44" s="49"/>
      <c r="R44" s="44">
        <f t="shared" si="4"/>
      </c>
      <c r="S44" s="44"/>
      <c r="T44" s="44">
        <f t="shared" si="5"/>
      </c>
      <c r="U44" s="44"/>
      <c r="V44" s="44"/>
      <c r="W44" s="44"/>
      <c r="X44" s="44"/>
    </row>
    <row r="45" ht="15" customHeight="1" spans="1:24" x14ac:dyDescent="0.25">
      <c r="A45" s="40"/>
      <c r="B45" s="41"/>
      <c r="C45" s="42"/>
      <c r="D45" s="43"/>
      <c r="E45" s="10"/>
      <c r="F45" s="44"/>
      <c r="G45" s="45"/>
      <c r="H45" s="46" t="str">
        <f>IFERROR(VLOOKUP(E45,배송지!A:C,3,0)," ")</f>
        <v> </v>
      </c>
      <c r="I45" s="44"/>
      <c r="J45" s="44" t="str">
        <f>IFERROR(VLOOKUP(E45,배송지!A:C,2,0)," ")</f>
        <v> </v>
      </c>
      <c r="K45" s="44"/>
      <c r="L45" s="44" t="str">
        <f t="shared" si="3"/>
        <v>  </v>
      </c>
      <c r="M45" s="47"/>
      <c r="N45" s="44" t="str">
        <f> IFERROR(INDEX('상품정보(1)'!R:R,MATCH(발주서!P45,'상품정보(1)'!F:F,0))," ")</f>
        <v> </v>
      </c>
      <c r="O45" s="48"/>
      <c r="P45" s="44" t="str">
        <f>IFERROR(INDEX('상품정보(1)'!F:F,MATCH(발주서!O45,'상품정보(1)'!E:E,0))," ")</f>
        <v> </v>
      </c>
      <c r="Q45" s="49"/>
      <c r="R45" s="44">
        <f t="shared" si="4"/>
      </c>
      <c r="S45" s="44"/>
      <c r="T45" s="44">
        <f t="shared" si="5"/>
      </c>
      <c r="U45" s="44"/>
      <c r="V45" s="44"/>
      <c r="W45" s="44"/>
      <c r="X45" s="44"/>
    </row>
    <row r="46" ht="15" customHeight="1" spans="1:24" x14ac:dyDescent="0.25">
      <c r="A46" s="40"/>
      <c r="B46" s="41"/>
      <c r="C46" s="42"/>
      <c r="D46" s="43"/>
      <c r="E46" s="10"/>
      <c r="F46" s="44"/>
      <c r="G46" s="45"/>
      <c r="H46" s="46" t="str">
        <f>IFERROR(VLOOKUP(E46,배송지!A:C,3,0)," ")</f>
        <v> </v>
      </c>
      <c r="I46" s="44"/>
      <c r="J46" s="44" t="str">
        <f>IFERROR(VLOOKUP(E46,배송지!A:C,2,0)," ")</f>
        <v> </v>
      </c>
      <c r="K46" s="44"/>
      <c r="L46" s="44" t="str">
        <f t="shared" si="3"/>
        <v>  </v>
      </c>
      <c r="M46" s="47"/>
      <c r="N46" s="44" t="str">
        <f> IFERROR(INDEX('상품정보(1)'!R:R,MATCH(발주서!P46,'상품정보(1)'!F:F,0))," ")</f>
        <v> </v>
      </c>
      <c r="O46" s="48"/>
      <c r="P46" s="44" t="str">
        <f>IFERROR(INDEX('상품정보(1)'!F:F,MATCH(발주서!O46,'상품정보(1)'!E:E,0))," ")</f>
        <v> </v>
      </c>
      <c r="Q46" s="49"/>
      <c r="R46" s="44">
        <f t="shared" si="4"/>
      </c>
      <c r="S46" s="44"/>
      <c r="T46" s="44">
        <f t="shared" si="5"/>
      </c>
      <c r="U46" s="44"/>
      <c r="V46" s="44"/>
      <c r="W46" s="44"/>
      <c r="X46" s="44"/>
    </row>
    <row r="47" ht="15" customHeight="1" spans="1:24" x14ac:dyDescent="0.25">
      <c r="A47" s="40"/>
      <c r="B47" s="41"/>
      <c r="C47" s="42"/>
      <c r="D47" s="43"/>
      <c r="E47" s="10"/>
      <c r="F47" s="44"/>
      <c r="G47" s="45"/>
      <c r="H47" s="46" t="str">
        <f>IFERROR(VLOOKUP(E47,배송지!A:C,3,0)," ")</f>
        <v> </v>
      </c>
      <c r="I47" s="44"/>
      <c r="J47" s="44" t="str">
        <f>IFERROR(VLOOKUP(E47,배송지!A:C,2,0)," ")</f>
        <v> </v>
      </c>
      <c r="K47" s="44"/>
      <c r="L47" s="44" t="str">
        <f t="shared" si="3"/>
        <v>  </v>
      </c>
      <c r="M47" s="47"/>
      <c r="N47" s="44" t="str">
        <f> IFERROR(INDEX('상품정보(1)'!R:R,MATCH(발주서!P47,'상품정보(1)'!F:F,0))," ")</f>
        <v> </v>
      </c>
      <c r="O47" s="48"/>
      <c r="P47" s="44" t="str">
        <f>IFERROR(INDEX('상품정보(1)'!F:F,MATCH(발주서!O47,'상품정보(1)'!E:E,0))," ")</f>
        <v> </v>
      </c>
      <c r="Q47" s="49"/>
      <c r="R47" s="44">
        <f t="shared" si="4"/>
      </c>
      <c r="S47" s="44"/>
      <c r="T47" s="44">
        <f t="shared" si="5"/>
      </c>
      <c r="U47" s="44"/>
      <c r="V47" s="44"/>
      <c r="W47" s="44"/>
      <c r="X47" s="44"/>
    </row>
    <row r="48" ht="15" customHeight="1" spans="1:24" x14ac:dyDescent="0.25">
      <c r="A48" s="40"/>
      <c r="B48" s="41"/>
      <c r="C48" s="42"/>
      <c r="D48" s="43"/>
      <c r="E48" s="10"/>
      <c r="F48" s="44"/>
      <c r="G48" s="45"/>
      <c r="H48" s="46" t="str">
        <f>IFERROR(VLOOKUP(E48,배송지!A:C,3,0)," ")</f>
        <v> </v>
      </c>
      <c r="I48" s="44"/>
      <c r="J48" s="44" t="str">
        <f>IFERROR(VLOOKUP(E48,배송지!A:C,2,0)," ")</f>
        <v> </v>
      </c>
      <c r="K48" s="44"/>
      <c r="L48" s="44" t="str">
        <f t="shared" si="3"/>
        <v>  </v>
      </c>
      <c r="M48" s="47"/>
      <c r="N48" s="44" t="str">
        <f> IFERROR(INDEX('상품정보(1)'!R:R,MATCH(발주서!P48,'상품정보(1)'!F:F,0))," ")</f>
        <v> </v>
      </c>
      <c r="O48" s="48"/>
      <c r="P48" s="44" t="str">
        <f>IFERROR(INDEX('상품정보(1)'!F:F,MATCH(발주서!O48,'상품정보(1)'!E:E,0))," ")</f>
        <v> </v>
      </c>
      <c r="Q48" s="49"/>
      <c r="R48" s="44">
        <f t="shared" si="4"/>
      </c>
      <c r="S48" s="44"/>
      <c r="T48" s="44">
        <f t="shared" si="5"/>
      </c>
      <c r="U48" s="44"/>
      <c r="V48" s="44"/>
      <c r="W48" s="44"/>
      <c r="X48" s="44"/>
    </row>
    <row r="49" ht="15" customHeight="1" spans="1:24" x14ac:dyDescent="0.25">
      <c r="A49" s="40"/>
      <c r="B49" s="41"/>
      <c r="C49" s="42"/>
      <c r="D49" s="43"/>
      <c r="E49" s="10"/>
      <c r="F49" s="44"/>
      <c r="G49" s="45"/>
      <c r="H49" s="46" t="str">
        <f>IFERROR(VLOOKUP(E49,배송지!A:C,3,0)," ")</f>
        <v> </v>
      </c>
      <c r="I49" s="44"/>
      <c r="J49" s="44" t="str">
        <f>IFERROR(VLOOKUP(E49,배송지!A:C,2,0)," ")</f>
        <v> </v>
      </c>
      <c r="K49" s="44"/>
      <c r="L49" s="44" t="str">
        <f t="shared" si="3"/>
        <v>  </v>
      </c>
      <c r="M49" s="47"/>
      <c r="N49" s="44" t="str">
        <f> IFERROR(INDEX('상품정보(1)'!R:R,MATCH(발주서!P49,'상품정보(1)'!F:F,0))," ")</f>
        <v> </v>
      </c>
      <c r="O49" s="48"/>
      <c r="P49" s="44" t="str">
        <f>IFERROR(INDEX('상품정보(1)'!F:F,MATCH(발주서!O49,'상품정보(1)'!E:E,0))," ")</f>
        <v> </v>
      </c>
      <c r="Q49" s="49"/>
      <c r="R49" s="44">
        <f t="shared" si="4"/>
      </c>
      <c r="S49" s="44"/>
      <c r="T49" s="44">
        <f t="shared" si="5"/>
      </c>
      <c r="U49" s="44"/>
      <c r="V49" s="44"/>
      <c r="W49" s="44"/>
      <c r="X49" s="44"/>
    </row>
    <row r="50" ht="15" customHeight="1" spans="1:24" x14ac:dyDescent="0.25">
      <c r="A50" s="40"/>
      <c r="B50" s="41"/>
      <c r="C50" s="42"/>
      <c r="D50" s="43"/>
      <c r="E50" s="10"/>
      <c r="F50" s="44"/>
      <c r="G50" s="45"/>
      <c r="H50" s="46" t="str">
        <f>IFERROR(VLOOKUP(E50,배송지!A:C,3,0)," ")</f>
        <v> </v>
      </c>
      <c r="I50" s="44"/>
      <c r="J50" s="44" t="str">
        <f>IFERROR(VLOOKUP(E50,배송지!A:C,2,0)," ")</f>
        <v> </v>
      </c>
      <c r="K50" s="44"/>
      <c r="L50" s="44" t="str">
        <f t="shared" si="3"/>
        <v>  </v>
      </c>
      <c r="M50" s="47"/>
      <c r="N50" s="44" t="str">
        <f> IFERROR(INDEX('상품정보(1)'!R:R,MATCH(발주서!P50,'상품정보(1)'!F:F,0))," ")</f>
        <v> </v>
      </c>
      <c r="O50" s="48"/>
      <c r="P50" s="44" t="str">
        <f>IFERROR(INDEX('상품정보(1)'!F:F,MATCH(발주서!O50,'상품정보(1)'!E:E,0))," ")</f>
        <v> </v>
      </c>
      <c r="Q50" s="49"/>
      <c r="R50" s="44">
        <f t="shared" si="4"/>
      </c>
      <c r="S50" s="44"/>
      <c r="T50" s="44">
        <f t="shared" si="5"/>
      </c>
      <c r="U50" s="44"/>
      <c r="V50" s="44"/>
      <c r="W50" s="44"/>
      <c r="X50" s="44"/>
    </row>
    <row r="51" ht="15" customHeight="1" spans="1:24" x14ac:dyDescent="0.25">
      <c r="A51" s="40"/>
      <c r="B51" s="41"/>
      <c r="C51" s="42"/>
      <c r="D51" s="43"/>
      <c r="E51" s="10"/>
      <c r="F51" s="44"/>
      <c r="G51" s="45"/>
      <c r="H51" s="46" t="str">
        <f>IFERROR(VLOOKUP(E51,배송지!A:C,3,0)," ")</f>
        <v> </v>
      </c>
      <c r="I51" s="44"/>
      <c r="J51" s="44" t="str">
        <f>IFERROR(VLOOKUP(E51,배송지!A:C,2,0)," ")</f>
        <v> </v>
      </c>
      <c r="K51" s="44"/>
      <c r="L51" s="44" t="str">
        <f t="shared" si="3"/>
        <v>  </v>
      </c>
      <c r="M51" s="47"/>
      <c r="N51" s="44" t="str">
        <f> IFERROR(INDEX('상품정보(1)'!R:R,MATCH(발주서!P51,'상품정보(1)'!F:F,0))," ")</f>
        <v> </v>
      </c>
      <c r="O51" s="48"/>
      <c r="P51" s="44" t="str">
        <f>IFERROR(INDEX('상품정보(1)'!F:F,MATCH(발주서!O51,'상품정보(1)'!E:E,0))," ")</f>
        <v> </v>
      </c>
      <c r="Q51" s="49"/>
      <c r="R51" s="44">
        <f t="shared" si="4"/>
      </c>
      <c r="S51" s="44"/>
      <c r="T51" s="44">
        <f t="shared" si="5"/>
      </c>
      <c r="U51" s="44"/>
      <c r="V51" s="44"/>
      <c r="W51" s="44"/>
      <c r="X51" s="44"/>
    </row>
    <row r="52" ht="15" customHeight="1" spans="1:24" x14ac:dyDescent="0.25">
      <c r="A52" s="40"/>
      <c r="B52" s="41"/>
      <c r="C52" s="42"/>
      <c r="D52" s="43"/>
      <c r="E52" s="10"/>
      <c r="F52" s="44"/>
      <c r="G52" s="45"/>
      <c r="H52" s="46" t="str">
        <f>IFERROR(VLOOKUP(E52,배송지!A:C,3,0)," ")</f>
        <v> </v>
      </c>
      <c r="I52" s="44"/>
      <c r="J52" s="44" t="str">
        <f>IFERROR(VLOOKUP(E52,배송지!A:C,2,0)," ")</f>
        <v> </v>
      </c>
      <c r="K52" s="44"/>
      <c r="L52" s="44" t="str">
        <f t="shared" si="3"/>
        <v>  </v>
      </c>
      <c r="M52" s="47"/>
      <c r="N52" s="44" t="str">
        <f> IFERROR(INDEX('상품정보(1)'!R:R,MATCH(발주서!P52,'상품정보(1)'!F:F,0))," ")</f>
        <v> </v>
      </c>
      <c r="O52" s="48"/>
      <c r="P52" s="44" t="str">
        <f>IFERROR(INDEX('상품정보(1)'!F:F,MATCH(발주서!O52,'상품정보(1)'!E:E,0))," ")</f>
        <v> </v>
      </c>
      <c r="Q52" s="49"/>
      <c r="R52" s="44">
        <f t="shared" si="4"/>
      </c>
      <c r="S52" s="44"/>
      <c r="T52" s="44">
        <f t="shared" si="5"/>
      </c>
      <c r="U52" s="44"/>
      <c r="V52" s="44"/>
      <c r="W52" s="44"/>
      <c r="X52" s="44"/>
    </row>
    <row r="53" ht="15" customHeight="1" spans="1:24" x14ac:dyDescent="0.25">
      <c r="A53" s="40"/>
      <c r="B53" s="41"/>
      <c r="C53" s="42"/>
      <c r="D53" s="43"/>
      <c r="E53" s="10"/>
      <c r="F53" s="44"/>
      <c r="G53" s="45"/>
      <c r="H53" s="46" t="str">
        <f>IFERROR(VLOOKUP(E53,배송지!A:C,3,0)," ")</f>
        <v> </v>
      </c>
      <c r="I53" s="44"/>
      <c r="J53" s="44" t="str">
        <f>IFERROR(VLOOKUP(E53,배송지!A:C,2,0)," ")</f>
        <v> </v>
      </c>
      <c r="K53" s="44"/>
      <c r="L53" s="44" t="str">
        <f t="shared" si="3"/>
        <v>  </v>
      </c>
      <c r="M53" s="47"/>
      <c r="N53" s="44" t="str">
        <f> IFERROR(INDEX('상품정보(1)'!R:R,MATCH(발주서!P53,'상품정보(1)'!F:F,0))," ")</f>
        <v> </v>
      </c>
      <c r="O53" s="48"/>
      <c r="P53" s="44" t="str">
        <f>IFERROR(INDEX('상품정보(1)'!F:F,MATCH(발주서!O53,'상품정보(1)'!E:E,0))," ")</f>
        <v> </v>
      </c>
      <c r="Q53" s="49"/>
      <c r="R53" s="44">
        <f t="shared" si="4"/>
      </c>
      <c r="S53" s="44"/>
      <c r="T53" s="44">
        <f t="shared" si="5"/>
      </c>
      <c r="U53" s="44"/>
      <c r="V53" s="44"/>
      <c r="W53" s="44"/>
      <c r="X53" s="44"/>
    </row>
    <row r="54" ht="15" customHeight="1" spans="1:24" x14ac:dyDescent="0.25">
      <c r="A54" s="40"/>
      <c r="B54" s="41"/>
      <c r="C54" s="42"/>
      <c r="D54" s="43"/>
      <c r="E54" s="10"/>
      <c r="F54" s="44"/>
      <c r="G54" s="45"/>
      <c r="H54" s="46" t="str">
        <f>IFERROR(VLOOKUP(E54,배송지!A:C,3,0)," ")</f>
        <v> </v>
      </c>
      <c r="I54" s="44"/>
      <c r="J54" s="44" t="str">
        <f>IFERROR(VLOOKUP(E54,배송지!A:C,2,0)," ")</f>
        <v> </v>
      </c>
      <c r="K54" s="44"/>
      <c r="L54" s="44" t="str">
        <f t="shared" si="3"/>
        <v>  </v>
      </c>
      <c r="M54" s="47"/>
      <c r="N54" s="44" t="str">
        <f> IFERROR(INDEX('상품정보(1)'!R:R,MATCH(발주서!P54,'상품정보(1)'!F:F,0))," ")</f>
        <v> </v>
      </c>
      <c r="O54" s="48"/>
      <c r="P54" s="44" t="str">
        <f>IFERROR(INDEX('상품정보(1)'!F:F,MATCH(발주서!O54,'상품정보(1)'!E:E,0))," ")</f>
        <v> </v>
      </c>
      <c r="Q54" s="49"/>
      <c r="R54" s="44">
        <f t="shared" si="4"/>
      </c>
      <c r="S54" s="44"/>
      <c r="T54" s="44">
        <f t="shared" si="5"/>
      </c>
      <c r="U54" s="44"/>
      <c r="V54" s="44"/>
      <c r="W54" s="44"/>
      <c r="X54" s="44"/>
    </row>
    <row r="55" ht="15" customHeight="1" spans="1:24" x14ac:dyDescent="0.25">
      <c r="A55" s="40"/>
      <c r="B55" s="41"/>
      <c r="C55" s="42"/>
      <c r="D55" s="43"/>
      <c r="E55" s="10"/>
      <c r="F55" s="44"/>
      <c r="G55" s="45"/>
      <c r="H55" s="46" t="str">
        <f>IFERROR(VLOOKUP(E55,배송지!A:C,3,0)," ")</f>
        <v> </v>
      </c>
      <c r="I55" s="44"/>
      <c r="J55" s="44" t="str">
        <f>IFERROR(VLOOKUP(E55,배송지!A:C,2,0)," ")</f>
        <v> </v>
      </c>
      <c r="K55" s="44"/>
      <c r="L55" s="44" t="str">
        <f t="shared" si="3"/>
        <v>  </v>
      </c>
      <c r="M55" s="47"/>
      <c r="N55" s="44" t="str">
        <f> IFERROR(INDEX('상품정보(1)'!R:R,MATCH(발주서!P55,'상품정보(1)'!F:F,0))," ")</f>
        <v> </v>
      </c>
      <c r="O55" s="48"/>
      <c r="P55" s="44" t="str">
        <f>IFERROR(INDEX('상품정보(1)'!F:F,MATCH(발주서!O55,'상품정보(1)'!E:E,0))," ")</f>
        <v> </v>
      </c>
      <c r="Q55" s="49"/>
      <c r="R55" s="44">
        <f t="shared" si="4"/>
      </c>
      <c r="S55" s="44"/>
      <c r="T55" s="44">
        <f t="shared" si="5"/>
      </c>
      <c r="U55" s="44"/>
      <c r="V55" s="44"/>
      <c r="W55" s="44"/>
      <c r="X55" s="44"/>
    </row>
    <row r="56" ht="15" customHeight="1" spans="1:24" x14ac:dyDescent="0.25">
      <c r="A56" s="40"/>
      <c r="B56" s="41"/>
      <c r="C56" s="42"/>
      <c r="D56" s="43"/>
      <c r="E56" s="10"/>
      <c r="F56" s="44"/>
      <c r="G56" s="45"/>
      <c r="H56" s="46" t="str">
        <f>IFERROR(VLOOKUP(E56,배송지!A:C,3,0)," ")</f>
        <v> </v>
      </c>
      <c r="I56" s="44"/>
      <c r="J56" s="44" t="str">
        <f>IFERROR(VLOOKUP(E56,배송지!A:C,2,0)," ")</f>
        <v> </v>
      </c>
      <c r="K56" s="44"/>
      <c r="L56" s="44" t="str">
        <f t="shared" si="3"/>
        <v>  </v>
      </c>
      <c r="M56" s="47"/>
      <c r="N56" s="44" t="str">
        <f> IFERROR(INDEX('상품정보(1)'!R:R,MATCH(발주서!P56,'상품정보(1)'!F:F,0))," ")</f>
        <v> </v>
      </c>
      <c r="O56" s="48"/>
      <c r="P56" s="44" t="str">
        <f>IFERROR(INDEX('상품정보(1)'!F:F,MATCH(발주서!O56,'상품정보(1)'!E:E,0))," ")</f>
        <v> </v>
      </c>
      <c r="Q56" s="49"/>
      <c r="R56" s="44">
        <f t="shared" si="4"/>
      </c>
      <c r="S56" s="44"/>
      <c r="T56" s="44">
        <f t="shared" si="5"/>
      </c>
      <c r="U56" s="44"/>
      <c r="V56" s="44"/>
      <c r="W56" s="44"/>
      <c r="X56" s="44"/>
    </row>
    <row r="57" ht="15" customHeight="1" spans="1:24" x14ac:dyDescent="0.25">
      <c r="A57" s="40"/>
      <c r="B57" s="41"/>
      <c r="C57" s="42"/>
      <c r="D57" s="43"/>
      <c r="E57" s="10"/>
      <c r="F57" s="44"/>
      <c r="G57" s="45"/>
      <c r="H57" s="46" t="str">
        <f>IFERROR(VLOOKUP(E57,배송지!A:C,3,0)," ")</f>
        <v> </v>
      </c>
      <c r="I57" s="44"/>
      <c r="J57" s="44" t="str">
        <f>IFERROR(VLOOKUP(E57,배송지!A:C,2,0)," ")</f>
        <v> </v>
      </c>
      <c r="K57" s="44"/>
      <c r="L57" s="44" t="str">
        <f t="shared" si="3"/>
        <v>  </v>
      </c>
      <c r="M57" s="47"/>
      <c r="N57" s="44" t="str">
        <f> IFERROR(INDEX('상품정보(1)'!R:R,MATCH(발주서!P57,'상품정보(1)'!F:F,0))," ")</f>
        <v> </v>
      </c>
      <c r="O57" s="48"/>
      <c r="P57" s="44" t="str">
        <f>IFERROR(INDEX('상품정보(1)'!F:F,MATCH(발주서!O57,'상품정보(1)'!E:E,0))," ")</f>
        <v> </v>
      </c>
      <c r="Q57" s="49"/>
      <c r="R57" s="44">
        <f t="shared" si="4"/>
      </c>
      <c r="S57" s="44"/>
      <c r="T57" s="44">
        <f t="shared" si="5"/>
      </c>
      <c r="U57" s="44"/>
      <c r="V57" s="44"/>
      <c r="W57" s="44"/>
      <c r="X57" s="44"/>
    </row>
    <row r="58" ht="15" customHeight="1" spans="1:24" x14ac:dyDescent="0.25">
      <c r="A58" s="40"/>
      <c r="B58" s="41"/>
      <c r="C58" s="42"/>
      <c r="D58" s="43"/>
      <c r="E58" s="10"/>
      <c r="F58" s="44"/>
      <c r="G58" s="45"/>
      <c r="H58" s="46" t="str">
        <f>IFERROR(VLOOKUP(E58,배송지!A:C,3,0)," ")</f>
        <v> </v>
      </c>
      <c r="I58" s="44"/>
      <c r="J58" s="44" t="str">
        <f>IFERROR(VLOOKUP(E58,배송지!A:C,2,0)," ")</f>
        <v> </v>
      </c>
      <c r="K58" s="44"/>
      <c r="L58" s="44" t="str">
        <f t="shared" si="3"/>
        <v>  </v>
      </c>
      <c r="M58" s="47"/>
      <c r="N58" s="44" t="str">
        <f> IFERROR(INDEX('상품정보(1)'!R:R,MATCH(발주서!P58,'상품정보(1)'!F:F,0))," ")</f>
        <v> </v>
      </c>
      <c r="O58" s="48"/>
      <c r="P58" s="44" t="str">
        <f>IFERROR(INDEX('상품정보(1)'!F:F,MATCH(발주서!O58,'상품정보(1)'!E:E,0))," ")</f>
        <v> </v>
      </c>
      <c r="Q58" s="49"/>
      <c r="R58" s="44">
        <f t="shared" si="4"/>
      </c>
      <c r="S58" s="44"/>
      <c r="T58" s="44">
        <f t="shared" si="5"/>
      </c>
      <c r="U58" s="44"/>
      <c r="V58" s="44"/>
      <c r="W58" s="44"/>
      <c r="X58" s="44"/>
    </row>
    <row r="59" ht="15" customHeight="1" spans="1:24" x14ac:dyDescent="0.25">
      <c r="A59" s="40"/>
      <c r="B59" s="46"/>
      <c r="C59" s="42"/>
      <c r="D59" s="43"/>
      <c r="E59" s="10"/>
      <c r="F59" s="44"/>
      <c r="G59" s="45"/>
      <c r="H59" s="46" t="str">
        <f>IFERROR(VLOOKUP(E59,배송지!A:C,3,0)," ")</f>
        <v> </v>
      </c>
      <c r="I59" s="44"/>
      <c r="J59" s="44" t="str">
        <f>IFERROR(VLOOKUP(E59,배송지!A:C,2,0)," ")</f>
        <v> </v>
      </c>
      <c r="K59" s="44"/>
      <c r="L59" s="44" t="str">
        <f t="shared" si="3"/>
        <v>  </v>
      </c>
      <c r="M59" s="43"/>
      <c r="N59" s="44" t="str">
        <f> IFERROR(INDEX('상품정보(1)'!R:R,MATCH(발주서!P59,'상품정보(1)'!F:F,0))," ")</f>
        <v> </v>
      </c>
      <c r="O59" s="48"/>
      <c r="P59" s="44" t="str">
        <f>IFERROR(INDEX('상품정보(1)'!F:F,MATCH(발주서!O59,'상품정보(1)'!E:E,0))," ")</f>
        <v> </v>
      </c>
      <c r="Q59" s="49"/>
      <c r="R59" s="44">
        <f t="shared" si="4"/>
      </c>
      <c r="S59" s="44"/>
      <c r="T59" s="44">
        <f t="shared" si="5"/>
      </c>
      <c r="U59" s="44"/>
      <c r="V59" s="44"/>
      <c r="W59" s="44"/>
      <c r="X59" s="44"/>
    </row>
    <row r="60" ht="15" customHeight="1" spans="1:24" x14ac:dyDescent="0.25">
      <c r="A60" s="40"/>
      <c r="B60" s="46"/>
      <c r="C60" s="42"/>
      <c r="D60" s="43"/>
      <c r="E60" s="10"/>
      <c r="F60" s="44"/>
      <c r="G60" s="45"/>
      <c r="H60" s="46" t="str">
        <f>IFERROR(VLOOKUP(E60,배송지!A:C,3,0)," ")</f>
        <v> </v>
      </c>
      <c r="I60" s="44"/>
      <c r="J60" s="44" t="str">
        <f>IFERROR(VLOOKUP(E60,배송지!A:C,2,0)," ")</f>
        <v> </v>
      </c>
      <c r="K60" s="44"/>
      <c r="L60" s="44" t="str">
        <f t="shared" si="3"/>
        <v>  </v>
      </c>
      <c r="M60" s="43"/>
      <c r="N60" s="44" t="str">
        <f> IFERROR(INDEX('상품정보(1)'!R:R,MATCH(발주서!P60,'상품정보(1)'!F:F,0))," ")</f>
        <v> </v>
      </c>
      <c r="O60" s="43"/>
      <c r="P60" s="44" t="str">
        <f>IFERROR(INDEX('상품정보(1)'!F:F,MATCH(발주서!O60,'상품정보(1)'!E:E,0))," ")</f>
        <v> </v>
      </c>
      <c r="Q60" s="49"/>
      <c r="R60" s="44">
        <f t="shared" si="4"/>
      </c>
      <c r="S60" s="44"/>
      <c r="T60" s="44">
        <f t="shared" si="5"/>
      </c>
      <c r="U60" s="44"/>
      <c r="V60" s="44"/>
      <c r="W60" s="44"/>
      <c r="X60" s="44"/>
    </row>
    <row r="61" ht="15" customHeight="1" spans="1:24" x14ac:dyDescent="0.25">
      <c r="A61" s="40"/>
      <c r="B61" s="46"/>
      <c r="C61" s="42"/>
      <c r="D61" s="43"/>
      <c r="E61" s="10"/>
      <c r="F61" s="44"/>
      <c r="G61" s="45"/>
      <c r="H61" s="46" t="str">
        <f>IFERROR(VLOOKUP(E61,배송지!A:C,3,0)," ")</f>
        <v> </v>
      </c>
      <c r="I61" s="44"/>
      <c r="J61" s="44" t="str">
        <f>IFERROR(VLOOKUP(E61,배송지!A:C,2,0)," ")</f>
        <v> </v>
      </c>
      <c r="K61" s="44"/>
      <c r="L61" s="44" t="str">
        <f t="shared" si="3"/>
        <v>  </v>
      </c>
      <c r="M61" s="43"/>
      <c r="N61" s="44" t="str">
        <f> IFERROR(INDEX('상품정보(1)'!R:R,MATCH(발주서!P61,'상품정보(1)'!F:F,0))," ")</f>
        <v> </v>
      </c>
      <c r="O61" s="43"/>
      <c r="P61" s="44" t="str">
        <f>IFERROR(INDEX('상품정보(1)'!F:F,MATCH(발주서!O61,'상품정보(1)'!E:E,0))," ")</f>
        <v> </v>
      </c>
      <c r="Q61" s="49"/>
      <c r="R61" s="44">
        <f t="shared" si="4"/>
      </c>
      <c r="S61" s="44"/>
      <c r="T61" s="44">
        <f t="shared" si="5"/>
      </c>
      <c r="U61" s="44"/>
      <c r="V61" s="44"/>
      <c r="W61" s="44"/>
      <c r="X61" s="44"/>
    </row>
    <row r="62" ht="15" customHeight="1" spans="1:24" x14ac:dyDescent="0.25">
      <c r="A62" s="40"/>
      <c r="B62" s="46"/>
      <c r="C62" s="42"/>
      <c r="D62" s="43"/>
      <c r="E62" s="10"/>
      <c r="F62" s="44"/>
      <c r="G62" s="45"/>
      <c r="H62" s="46" t="str">
        <f>IFERROR(VLOOKUP(E62,배송지!A:C,3,0)," ")</f>
        <v> </v>
      </c>
      <c r="I62" s="44"/>
      <c r="J62" s="44" t="str">
        <f>IFERROR(VLOOKUP(E62,배송지!A:C,2,0)," ")</f>
        <v> </v>
      </c>
      <c r="K62" s="44"/>
      <c r="L62" s="44" t="str">
        <f t="shared" si="3"/>
        <v>  </v>
      </c>
      <c r="M62" s="43"/>
      <c r="N62" s="44" t="str">
        <f> IFERROR(INDEX('상품정보(1)'!R:R,MATCH(발주서!P62,'상품정보(1)'!F:F,0))," ")</f>
        <v> </v>
      </c>
      <c r="O62" s="43"/>
      <c r="P62" s="44" t="str">
        <f>IFERROR(INDEX('상품정보(1)'!F:F,MATCH(발주서!O62,'상품정보(1)'!E:E,0))," ")</f>
        <v> </v>
      </c>
      <c r="Q62" s="49"/>
      <c r="R62" s="44">
        <f t="shared" si="4"/>
      </c>
      <c r="S62" s="44"/>
      <c r="T62" s="44">
        <f t="shared" si="5"/>
      </c>
      <c r="U62" s="44"/>
      <c r="V62" s="44"/>
      <c r="W62" s="44"/>
      <c r="X62" s="44"/>
    </row>
    <row r="63" ht="15" customHeight="1" spans="1:24" x14ac:dyDescent="0.25">
      <c r="A63" s="40"/>
      <c r="B63" s="46"/>
      <c r="C63" s="42"/>
      <c r="D63" s="43"/>
      <c r="E63" s="10"/>
      <c r="F63" s="44"/>
      <c r="G63" s="45"/>
      <c r="H63" s="46" t="str">
        <f>IFERROR(VLOOKUP(E63,배송지!A:C,3,0)," ")</f>
        <v> </v>
      </c>
      <c r="I63" s="44"/>
      <c r="J63" s="44" t="str">
        <f>IFERROR(VLOOKUP(E63,배송지!A:C,2,0)," ")</f>
        <v> </v>
      </c>
      <c r="K63" s="44"/>
      <c r="L63" s="44" t="str">
        <f t="shared" si="3"/>
        <v>  </v>
      </c>
      <c r="M63" s="43"/>
      <c r="N63" s="44" t="str">
        <f> IFERROR(INDEX('상품정보(1)'!R:R,MATCH(발주서!P63,'상품정보(1)'!F:F,0))," ")</f>
        <v> </v>
      </c>
      <c r="O63" s="43"/>
      <c r="P63" s="44" t="str">
        <f>IFERROR(INDEX('상품정보(1)'!F:F,MATCH(발주서!O63,'상품정보(1)'!E:E,0))," ")</f>
        <v> </v>
      </c>
      <c r="Q63" s="49"/>
      <c r="R63" s="44">
        <f t="shared" si="4"/>
      </c>
      <c r="S63" s="44"/>
      <c r="T63" s="44">
        <f t="shared" si="5"/>
      </c>
      <c r="U63" s="44"/>
      <c r="V63" s="44"/>
      <c r="W63" s="44"/>
      <c r="X63" s="44"/>
    </row>
    <row r="64" ht="15" customHeight="1" spans="1:24" x14ac:dyDescent="0.25">
      <c r="A64" s="40"/>
      <c r="B64" s="46"/>
      <c r="C64" s="42"/>
      <c r="D64" s="43"/>
      <c r="E64" s="10"/>
      <c r="F64" s="44"/>
      <c r="G64" s="45"/>
      <c r="H64" s="46" t="str">
        <f>IFERROR(VLOOKUP(E64,배송지!A:C,3,0)," ")</f>
        <v> </v>
      </c>
      <c r="I64" s="44"/>
      <c r="J64" s="44" t="str">
        <f>IFERROR(VLOOKUP(E64,배송지!A:C,2,0)," ")</f>
        <v> </v>
      </c>
      <c r="K64" s="44"/>
      <c r="L64" s="44" t="str">
        <f t="shared" si="3"/>
        <v>  </v>
      </c>
      <c r="M64" s="43"/>
      <c r="N64" s="44" t="str">
        <f> IFERROR(INDEX('상품정보(1)'!R:R,MATCH(발주서!P64,'상품정보(1)'!F:F,0))," ")</f>
        <v> </v>
      </c>
      <c r="O64" s="43"/>
      <c r="P64" s="44" t="str">
        <f>IFERROR(INDEX('상품정보(1)'!F:F,MATCH(발주서!O64,'상품정보(1)'!E:E,0))," ")</f>
        <v> </v>
      </c>
      <c r="Q64" s="49"/>
      <c r="R64" s="44">
        <f t="shared" si="4"/>
      </c>
      <c r="S64" s="44"/>
      <c r="T64" s="44">
        <f t="shared" si="5"/>
      </c>
      <c r="U64" s="44"/>
      <c r="V64" s="44"/>
      <c r="W64" s="44"/>
      <c r="X64" s="44"/>
    </row>
    <row r="65" ht="15" customHeight="1" spans="1:24" x14ac:dyDescent="0.25">
      <c r="A65" s="40"/>
      <c r="B65" s="46"/>
      <c r="C65" s="42"/>
      <c r="D65" s="43"/>
      <c r="E65" s="10"/>
      <c r="F65" s="44"/>
      <c r="G65" s="45"/>
      <c r="H65" s="46" t="str">
        <f>IFERROR(VLOOKUP(E65,배송지!A:C,3,0)," ")</f>
        <v> </v>
      </c>
      <c r="I65" s="44"/>
      <c r="J65" s="44" t="str">
        <f>IFERROR(VLOOKUP(E65,배송지!A:C,2,0)," ")</f>
        <v> </v>
      </c>
      <c r="K65" s="44"/>
      <c r="L65" s="44" t="str">
        <f t="shared" si="3"/>
        <v>  </v>
      </c>
      <c r="M65" s="43"/>
      <c r="N65" s="44" t="str">
        <f> IFERROR(INDEX('상품정보(1)'!R:R,MATCH(발주서!P65,'상품정보(1)'!F:F,0))," ")</f>
        <v> </v>
      </c>
      <c r="O65" s="43"/>
      <c r="P65" s="44" t="str">
        <f>IFERROR(INDEX('상품정보(1)'!F:F,MATCH(발주서!O65,'상품정보(1)'!E:E,0))," ")</f>
        <v> </v>
      </c>
      <c r="Q65" s="49"/>
      <c r="R65" s="44">
        <f t="shared" si="4"/>
      </c>
      <c r="S65" s="44"/>
      <c r="T65" s="44">
        <f t="shared" si="5"/>
      </c>
      <c r="U65" s="44"/>
      <c r="V65" s="44"/>
      <c r="W65" s="44"/>
      <c r="X65" s="44"/>
    </row>
    <row r="66" ht="15" customHeight="1" spans="1:24" x14ac:dyDescent="0.25">
      <c r="A66" s="40"/>
      <c r="B66" s="46"/>
      <c r="C66" s="42"/>
      <c r="D66" s="43"/>
      <c r="E66" s="10"/>
      <c r="F66" s="44"/>
      <c r="G66" s="45"/>
      <c r="H66" s="46" t="str">
        <f>IFERROR(VLOOKUP(E66,배송지!A:C,3,0)," ")</f>
        <v> </v>
      </c>
      <c r="I66" s="44"/>
      <c r="J66" s="44" t="str">
        <f>IFERROR(VLOOKUP(E66,배송지!A:C,2,0)," ")</f>
        <v> </v>
      </c>
      <c r="K66" s="44"/>
      <c r="L66" s="44" t="str">
        <f t="shared" si="3"/>
        <v>  </v>
      </c>
      <c r="M66" s="43"/>
      <c r="N66" s="44" t="str">
        <f> IFERROR(INDEX('상품정보(1)'!R:R,MATCH(발주서!P66,'상품정보(1)'!F:F,0))," ")</f>
        <v> </v>
      </c>
      <c r="O66" s="43"/>
      <c r="P66" s="44" t="str">
        <f>IFERROR(INDEX('상품정보(1)'!F:F,MATCH(발주서!O66,'상품정보(1)'!E:E,0))," ")</f>
        <v> </v>
      </c>
      <c r="Q66" s="49"/>
      <c r="R66" s="44">
        <f t="shared" si="4"/>
      </c>
      <c r="S66" s="44"/>
      <c r="T66" s="44">
        <f t="shared" si="5"/>
      </c>
      <c r="U66" s="44"/>
      <c r="V66" s="44"/>
      <c r="W66" s="44"/>
      <c r="X66" s="44"/>
    </row>
    <row r="67" ht="15" customHeight="1" spans="1:24" x14ac:dyDescent="0.25">
      <c r="A67" s="40"/>
      <c r="B67" s="46"/>
      <c r="C67" s="42"/>
      <c r="D67" s="43"/>
      <c r="E67" s="10"/>
      <c r="F67" s="44"/>
      <c r="G67" s="45"/>
      <c r="H67" s="46" t="str">
        <f>IFERROR(VLOOKUP(E67,배송지!A:C,3,0)," ")</f>
        <v> </v>
      </c>
      <c r="I67" s="44"/>
      <c r="J67" s="44" t="str">
        <f>IFERROR(VLOOKUP(E67,배송지!A:C,2,0)," ")</f>
        <v> </v>
      </c>
      <c r="K67" s="44"/>
      <c r="L67" s="44" t="str">
        <f t="shared" ref="L67:L130" si="6">O67&amp;" "&amp;P67</f>
        <v>  </v>
      </c>
      <c r="M67" s="43"/>
      <c r="N67" s="44" t="str">
        <f> IFERROR(INDEX('상품정보(1)'!R:R,MATCH(발주서!P67,'상품정보(1)'!F:F,0))," ")</f>
        <v> </v>
      </c>
      <c r="O67" s="43"/>
      <c r="P67" s="44" t="str">
        <f>IFERROR(INDEX('상품정보(1)'!F:F,MATCH(발주서!O67,'상품정보(1)'!E:E,0))," ")</f>
        <v> </v>
      </c>
      <c r="Q67" s="49"/>
      <c r="R67" s="44">
        <f t="shared" ref="R67:R130" si="7">LEFT(T67,8)</f>
      </c>
      <c r="S67" s="44"/>
      <c r="T67" s="44">
        <f t="shared" ref="T67:T130" si="8">IF(Q67="","",Q67)</f>
      </c>
      <c r="U67" s="44"/>
      <c r="V67" s="44"/>
      <c r="W67" s="44"/>
      <c r="X67" s="44"/>
    </row>
    <row r="68" ht="15" customHeight="1" spans="1:24" x14ac:dyDescent="0.25">
      <c r="A68" s="40"/>
      <c r="B68" s="46"/>
      <c r="C68" s="42"/>
      <c r="D68" s="43"/>
      <c r="E68" s="10"/>
      <c r="F68" s="44"/>
      <c r="G68" s="45"/>
      <c r="H68" s="46" t="str">
        <f>IFERROR(VLOOKUP(E68,배송지!A:C,3,0)," ")</f>
        <v> </v>
      </c>
      <c r="I68" s="44"/>
      <c r="J68" s="44" t="str">
        <f>IFERROR(VLOOKUP(E68,배송지!A:C,2,0)," ")</f>
        <v> </v>
      </c>
      <c r="K68" s="44"/>
      <c r="L68" s="44" t="str">
        <f t="shared" si="6"/>
        <v>  </v>
      </c>
      <c r="M68" s="43"/>
      <c r="N68" s="44" t="str">
        <f> IFERROR(INDEX('상품정보(1)'!R:R,MATCH(발주서!P68,'상품정보(1)'!F:F,0))," ")</f>
        <v> </v>
      </c>
      <c r="O68" s="43"/>
      <c r="P68" s="44" t="str">
        <f>IFERROR(INDEX('상품정보(1)'!F:F,MATCH(발주서!O68,'상품정보(1)'!E:E,0))," ")</f>
        <v> </v>
      </c>
      <c r="Q68" s="49"/>
      <c r="R68" s="44">
        <f t="shared" si="7"/>
      </c>
      <c r="S68" s="44"/>
      <c r="T68" s="44">
        <f t="shared" si="8"/>
      </c>
      <c r="U68" s="44"/>
      <c r="V68" s="44"/>
      <c r="W68" s="44"/>
      <c r="X68" s="44"/>
    </row>
    <row r="69" ht="15" customHeight="1" spans="1:24" x14ac:dyDescent="0.25">
      <c r="A69" s="40"/>
      <c r="B69" s="46"/>
      <c r="C69" s="42"/>
      <c r="D69" s="43"/>
      <c r="E69" s="10"/>
      <c r="F69" s="44"/>
      <c r="G69" s="45"/>
      <c r="H69" s="46" t="str">
        <f>IFERROR(VLOOKUP(E69,배송지!A:C,3,0)," ")</f>
        <v> </v>
      </c>
      <c r="I69" s="44"/>
      <c r="J69" s="44" t="str">
        <f>IFERROR(VLOOKUP(E69,배송지!A:C,2,0)," ")</f>
        <v> </v>
      </c>
      <c r="K69" s="44"/>
      <c r="L69" s="44" t="str">
        <f t="shared" si="6"/>
        <v>  </v>
      </c>
      <c r="M69" s="43"/>
      <c r="N69" s="44" t="str">
        <f> IFERROR(INDEX('상품정보(1)'!R:R,MATCH(발주서!P69,'상품정보(1)'!F:F,0))," ")</f>
        <v> </v>
      </c>
      <c r="O69" s="43"/>
      <c r="P69" s="44" t="str">
        <f>IFERROR(INDEX('상품정보(1)'!F:F,MATCH(발주서!O69,'상품정보(1)'!E:E,0))," ")</f>
        <v> </v>
      </c>
      <c r="Q69" s="49"/>
      <c r="R69" s="44">
        <f t="shared" si="7"/>
      </c>
      <c r="S69" s="44"/>
      <c r="T69" s="44">
        <f t="shared" si="8"/>
      </c>
      <c r="U69" s="44"/>
      <c r="V69" s="44"/>
      <c r="W69" s="44"/>
      <c r="X69" s="44"/>
    </row>
    <row r="70" ht="15" customHeight="1" spans="1:24" x14ac:dyDescent="0.25">
      <c r="A70" s="40"/>
      <c r="B70" s="46"/>
      <c r="C70" s="42"/>
      <c r="D70" s="43"/>
      <c r="E70" s="10"/>
      <c r="F70" s="44"/>
      <c r="G70" s="45"/>
      <c r="H70" s="46" t="str">
        <f>IFERROR(VLOOKUP(E70,배송지!A:C,3,0)," ")</f>
        <v> </v>
      </c>
      <c r="I70" s="44"/>
      <c r="J70" s="44" t="str">
        <f>IFERROR(VLOOKUP(E70,배송지!A:C,2,0)," ")</f>
        <v> </v>
      </c>
      <c r="K70" s="44"/>
      <c r="L70" s="44" t="str">
        <f t="shared" si="6"/>
        <v>  </v>
      </c>
      <c r="M70" s="43"/>
      <c r="N70" s="44" t="str">
        <f> IFERROR(INDEX('상품정보(1)'!R:R,MATCH(발주서!P70,'상품정보(1)'!F:F,0))," ")</f>
        <v> </v>
      </c>
      <c r="O70" s="43"/>
      <c r="P70" s="44" t="str">
        <f>IFERROR(INDEX('상품정보(1)'!F:F,MATCH(발주서!O70,'상품정보(1)'!E:E,0))," ")</f>
        <v> </v>
      </c>
      <c r="Q70" s="49"/>
      <c r="R70" s="44">
        <f t="shared" si="7"/>
      </c>
      <c r="S70" s="44"/>
      <c r="T70" s="44">
        <f t="shared" si="8"/>
      </c>
      <c r="U70" s="44"/>
      <c r="V70" s="44"/>
      <c r="W70" s="44"/>
      <c r="X70" s="44"/>
    </row>
    <row r="71" ht="15" customHeight="1" spans="1:24" x14ac:dyDescent="0.25">
      <c r="A71" s="40"/>
      <c r="B71" s="46"/>
      <c r="C71" s="42"/>
      <c r="D71" s="43"/>
      <c r="E71" s="10"/>
      <c r="F71" s="44"/>
      <c r="G71" s="45"/>
      <c r="H71" s="46" t="str">
        <f>IFERROR(VLOOKUP(E71,배송지!A:C,3,0)," ")</f>
        <v> </v>
      </c>
      <c r="I71" s="44"/>
      <c r="J71" s="44" t="str">
        <f>IFERROR(VLOOKUP(E71,배송지!A:C,2,0)," ")</f>
        <v> </v>
      </c>
      <c r="K71" s="44"/>
      <c r="L71" s="44" t="str">
        <f t="shared" si="6"/>
        <v>  </v>
      </c>
      <c r="M71" s="43"/>
      <c r="N71" s="44" t="str">
        <f> IFERROR(INDEX('상품정보(1)'!R:R,MATCH(발주서!P71,'상품정보(1)'!F:F,0))," ")</f>
        <v> </v>
      </c>
      <c r="O71" s="43"/>
      <c r="P71" s="44" t="str">
        <f>IFERROR(INDEX('상품정보(1)'!F:F,MATCH(발주서!O71,'상품정보(1)'!E:E,0))," ")</f>
        <v> </v>
      </c>
      <c r="Q71" s="49"/>
      <c r="R71" s="44">
        <f t="shared" si="7"/>
      </c>
      <c r="S71" s="44"/>
      <c r="T71" s="44">
        <f t="shared" si="8"/>
      </c>
      <c r="U71" s="44"/>
      <c r="V71" s="44"/>
      <c r="W71" s="44"/>
      <c r="X71" s="44"/>
    </row>
    <row r="72" ht="15" customHeight="1" spans="1:24" x14ac:dyDescent="0.25">
      <c r="A72" s="40"/>
      <c r="B72" s="46"/>
      <c r="C72" s="42"/>
      <c r="D72" s="43"/>
      <c r="E72" s="10"/>
      <c r="F72" s="44"/>
      <c r="G72" s="45"/>
      <c r="H72" s="46" t="str">
        <f>IFERROR(VLOOKUP(E72,배송지!A:C,3,0)," ")</f>
        <v> </v>
      </c>
      <c r="I72" s="44"/>
      <c r="J72" s="44" t="str">
        <f>IFERROR(VLOOKUP(E72,배송지!A:C,2,0)," ")</f>
        <v> </v>
      </c>
      <c r="K72" s="44"/>
      <c r="L72" s="44" t="str">
        <f t="shared" si="6"/>
        <v>  </v>
      </c>
      <c r="M72" s="43"/>
      <c r="N72" s="44" t="str">
        <f> IFERROR(INDEX('상품정보(1)'!R:R,MATCH(발주서!P72,'상품정보(1)'!F:F,0))," ")</f>
        <v> </v>
      </c>
      <c r="O72" s="43"/>
      <c r="P72" s="44" t="str">
        <f>IFERROR(INDEX('상품정보(1)'!F:F,MATCH(발주서!O72,'상품정보(1)'!E:E,0))," ")</f>
        <v> </v>
      </c>
      <c r="Q72" s="49"/>
      <c r="R72" s="44">
        <f t="shared" si="7"/>
      </c>
      <c r="S72" s="44"/>
      <c r="T72" s="44">
        <f t="shared" si="8"/>
      </c>
      <c r="U72" s="44"/>
      <c r="V72" s="44"/>
      <c r="W72" s="44"/>
      <c r="X72" s="44"/>
    </row>
    <row r="73" ht="15" customHeight="1" spans="1:24" x14ac:dyDescent="0.25">
      <c r="A73" s="40"/>
      <c r="B73" s="46"/>
      <c r="C73" s="42"/>
      <c r="D73" s="43"/>
      <c r="E73" s="10"/>
      <c r="F73" s="44"/>
      <c r="G73" s="45"/>
      <c r="H73" s="46" t="str">
        <f>IFERROR(VLOOKUP(E73,배송지!A:C,3,0)," ")</f>
        <v> </v>
      </c>
      <c r="I73" s="44"/>
      <c r="J73" s="44" t="str">
        <f>IFERROR(VLOOKUP(E73,배송지!A:C,2,0)," ")</f>
        <v> </v>
      </c>
      <c r="K73" s="44"/>
      <c r="L73" s="44" t="str">
        <f t="shared" si="6"/>
        <v>  </v>
      </c>
      <c r="M73" s="43"/>
      <c r="N73" s="44" t="str">
        <f> IFERROR(INDEX('상품정보(1)'!R:R,MATCH(발주서!P73,'상품정보(1)'!F:F,0))," ")</f>
        <v> </v>
      </c>
      <c r="O73" s="43"/>
      <c r="P73" s="44" t="str">
        <f>IFERROR(INDEX('상품정보(1)'!F:F,MATCH(발주서!O73,'상품정보(1)'!E:E,0))," ")</f>
        <v> </v>
      </c>
      <c r="Q73" s="49"/>
      <c r="R73" s="44">
        <f t="shared" si="7"/>
      </c>
      <c r="S73" s="44"/>
      <c r="T73" s="44">
        <f t="shared" si="8"/>
      </c>
      <c r="U73" s="44"/>
      <c r="V73" s="44"/>
      <c r="W73" s="44"/>
      <c r="X73" s="44"/>
    </row>
    <row r="74" ht="15" customHeight="1" spans="1:24" x14ac:dyDescent="0.25">
      <c r="A74" s="40"/>
      <c r="B74" s="46"/>
      <c r="C74" s="42"/>
      <c r="D74" s="43"/>
      <c r="E74" s="10"/>
      <c r="F74" s="44"/>
      <c r="G74" s="45"/>
      <c r="H74" s="46" t="str">
        <f>IFERROR(VLOOKUP(E74,배송지!A:C,3,0)," ")</f>
        <v> </v>
      </c>
      <c r="I74" s="44"/>
      <c r="J74" s="44" t="str">
        <f>IFERROR(VLOOKUP(E74,배송지!A:C,2,0)," ")</f>
        <v> </v>
      </c>
      <c r="K74" s="44"/>
      <c r="L74" s="44" t="str">
        <f t="shared" si="6"/>
        <v>  </v>
      </c>
      <c r="M74" s="43"/>
      <c r="N74" s="44" t="str">
        <f> IFERROR(INDEX('상품정보(1)'!R:R,MATCH(발주서!P74,'상품정보(1)'!F:F,0))," ")</f>
        <v> </v>
      </c>
      <c r="O74" s="43"/>
      <c r="P74" s="44" t="str">
        <f>IFERROR(INDEX('상품정보(1)'!F:F,MATCH(발주서!O74,'상품정보(1)'!E:E,0))," ")</f>
        <v> </v>
      </c>
      <c r="Q74" s="49"/>
      <c r="R74" s="44">
        <f t="shared" si="7"/>
      </c>
      <c r="S74" s="44"/>
      <c r="T74" s="44">
        <f t="shared" si="8"/>
      </c>
      <c r="U74" s="44"/>
      <c r="V74" s="44"/>
      <c r="W74" s="44"/>
      <c r="X74" s="44"/>
    </row>
    <row r="75" ht="15" customHeight="1" spans="1:24" x14ac:dyDescent="0.25">
      <c r="A75" s="40"/>
      <c r="B75" s="46"/>
      <c r="C75" s="42"/>
      <c r="D75" s="43"/>
      <c r="E75" s="10"/>
      <c r="F75" s="44"/>
      <c r="G75" s="45"/>
      <c r="H75" s="46" t="str">
        <f>IFERROR(VLOOKUP(E75,배송지!A:C,3,0)," ")</f>
        <v> </v>
      </c>
      <c r="I75" s="44"/>
      <c r="J75" s="44" t="str">
        <f>IFERROR(VLOOKUP(E75,배송지!A:C,2,0)," ")</f>
        <v> </v>
      </c>
      <c r="K75" s="44"/>
      <c r="L75" s="44" t="str">
        <f t="shared" si="6"/>
        <v>  </v>
      </c>
      <c r="M75" s="43"/>
      <c r="N75" s="44" t="str">
        <f> IFERROR(INDEX('상품정보(1)'!R:R,MATCH(발주서!P75,'상품정보(1)'!F:F,0))," ")</f>
        <v> </v>
      </c>
      <c r="O75" s="43"/>
      <c r="P75" s="44" t="str">
        <f>IFERROR(INDEX('상품정보(1)'!F:F,MATCH(발주서!O75,'상품정보(1)'!E:E,0))," ")</f>
        <v> </v>
      </c>
      <c r="Q75" s="49"/>
      <c r="R75" s="44">
        <f t="shared" si="7"/>
      </c>
      <c r="S75" s="44"/>
      <c r="T75" s="44">
        <f t="shared" si="8"/>
      </c>
      <c r="U75" s="44"/>
      <c r="V75" s="44"/>
      <c r="W75" s="44"/>
      <c r="X75" s="44"/>
    </row>
    <row r="76" ht="15" customHeight="1" spans="1:24" x14ac:dyDescent="0.25">
      <c r="A76" s="40"/>
      <c r="B76" s="46"/>
      <c r="C76" s="42"/>
      <c r="D76" s="43"/>
      <c r="E76" s="10"/>
      <c r="F76" s="44"/>
      <c r="G76" s="45"/>
      <c r="H76" s="46" t="str">
        <f>IFERROR(VLOOKUP(E76,배송지!A:C,3,0)," ")</f>
        <v> </v>
      </c>
      <c r="I76" s="44"/>
      <c r="J76" s="44" t="str">
        <f>IFERROR(VLOOKUP(E76,배송지!A:C,2,0)," ")</f>
        <v> </v>
      </c>
      <c r="K76" s="44"/>
      <c r="L76" s="44" t="str">
        <f t="shared" si="6"/>
        <v>  </v>
      </c>
      <c r="M76" s="43"/>
      <c r="N76" s="44" t="str">
        <f> IFERROR(INDEX('상품정보(1)'!R:R,MATCH(발주서!P76,'상품정보(1)'!F:F,0))," ")</f>
        <v> </v>
      </c>
      <c r="O76" s="43"/>
      <c r="P76" s="44" t="str">
        <f>IFERROR(INDEX('상품정보(1)'!F:F,MATCH(발주서!O76,'상품정보(1)'!E:E,0))," ")</f>
        <v> </v>
      </c>
      <c r="Q76" s="49"/>
      <c r="R76" s="44">
        <f t="shared" si="7"/>
      </c>
      <c r="S76" s="44"/>
      <c r="T76" s="44">
        <f t="shared" si="8"/>
      </c>
      <c r="U76" s="44"/>
      <c r="V76" s="44"/>
      <c r="W76" s="44"/>
      <c r="X76" s="44"/>
    </row>
    <row r="77" ht="15" customHeight="1" spans="1:24" x14ac:dyDescent="0.25">
      <c r="A77" s="40"/>
      <c r="B77" s="46"/>
      <c r="C77" s="42"/>
      <c r="D77" s="43"/>
      <c r="E77" s="10"/>
      <c r="F77" s="44"/>
      <c r="G77" s="45"/>
      <c r="H77" s="46" t="str">
        <f>IFERROR(VLOOKUP(E77,배송지!A:C,3,0)," ")</f>
        <v> </v>
      </c>
      <c r="I77" s="44"/>
      <c r="J77" s="44" t="str">
        <f>IFERROR(VLOOKUP(E77,배송지!A:C,2,0)," ")</f>
        <v> </v>
      </c>
      <c r="K77" s="44"/>
      <c r="L77" s="44" t="str">
        <f t="shared" si="6"/>
        <v>  </v>
      </c>
      <c r="M77" s="43"/>
      <c r="N77" s="44" t="str">
        <f> IFERROR(INDEX('상품정보(1)'!R:R,MATCH(발주서!P77,'상품정보(1)'!F:F,0))," ")</f>
        <v> </v>
      </c>
      <c r="O77" s="43"/>
      <c r="P77" s="44" t="str">
        <f>IFERROR(INDEX('상품정보(1)'!F:F,MATCH(발주서!O77,'상품정보(1)'!E:E,0))," ")</f>
        <v> </v>
      </c>
      <c r="Q77" s="49"/>
      <c r="R77" s="44">
        <f t="shared" si="7"/>
      </c>
      <c r="S77" s="44"/>
      <c r="T77" s="44">
        <f t="shared" si="8"/>
      </c>
      <c r="U77" s="44"/>
      <c r="V77" s="44"/>
      <c r="W77" s="44"/>
      <c r="X77" s="44"/>
    </row>
    <row r="78" ht="15" customHeight="1" spans="1:24" x14ac:dyDescent="0.25">
      <c r="A78" s="40"/>
      <c r="B78" s="46"/>
      <c r="C78" s="42"/>
      <c r="D78" s="43"/>
      <c r="E78" s="10"/>
      <c r="F78" s="44"/>
      <c r="G78" s="45"/>
      <c r="H78" s="46" t="str">
        <f>IFERROR(VLOOKUP(E78,배송지!A:C,3,0)," ")</f>
        <v> </v>
      </c>
      <c r="I78" s="44"/>
      <c r="J78" s="44" t="str">
        <f>IFERROR(VLOOKUP(E78,배송지!A:C,2,0)," ")</f>
        <v> </v>
      </c>
      <c r="K78" s="44"/>
      <c r="L78" s="44" t="str">
        <f t="shared" si="6"/>
        <v>  </v>
      </c>
      <c r="M78" s="43"/>
      <c r="N78" s="44" t="str">
        <f> IFERROR(INDEX('상품정보(1)'!R:R,MATCH(발주서!P78,'상품정보(1)'!F:F,0))," ")</f>
        <v> </v>
      </c>
      <c r="O78" s="43"/>
      <c r="P78" s="44" t="str">
        <f>IFERROR(INDEX('상품정보(1)'!F:F,MATCH(발주서!O78,'상품정보(1)'!E:E,0))," ")</f>
        <v> </v>
      </c>
      <c r="Q78" s="49"/>
      <c r="R78" s="44">
        <f t="shared" si="7"/>
      </c>
      <c r="S78" s="44"/>
      <c r="T78" s="44">
        <f t="shared" si="8"/>
      </c>
      <c r="U78" s="44"/>
      <c r="V78" s="44"/>
      <c r="W78" s="44"/>
      <c r="X78" s="44"/>
    </row>
    <row r="79" ht="15" customHeight="1" spans="1:24" x14ac:dyDescent="0.25">
      <c r="A79" s="40"/>
      <c r="B79" s="46"/>
      <c r="C79" s="42"/>
      <c r="D79" s="43"/>
      <c r="E79" s="10"/>
      <c r="F79" s="44"/>
      <c r="G79" s="45"/>
      <c r="H79" s="46" t="str">
        <f>IFERROR(VLOOKUP(E79,배송지!A:C,3,0)," ")</f>
        <v> </v>
      </c>
      <c r="I79" s="44"/>
      <c r="J79" s="44" t="str">
        <f>IFERROR(VLOOKUP(E79,배송지!A:C,2,0)," ")</f>
        <v> </v>
      </c>
      <c r="K79" s="44"/>
      <c r="L79" s="44" t="str">
        <f t="shared" si="6"/>
        <v>  </v>
      </c>
      <c r="M79" s="43"/>
      <c r="N79" s="44" t="str">
        <f> IFERROR(INDEX('상품정보(1)'!R:R,MATCH(발주서!P79,'상품정보(1)'!F:F,0))," ")</f>
        <v> </v>
      </c>
      <c r="O79" s="43"/>
      <c r="P79" s="44" t="str">
        <f>IFERROR(INDEX('상품정보(1)'!F:F,MATCH(발주서!O79,'상품정보(1)'!E:E,0))," ")</f>
        <v> </v>
      </c>
      <c r="Q79" s="49"/>
      <c r="R79" s="44">
        <f t="shared" si="7"/>
      </c>
      <c r="S79" s="44"/>
      <c r="T79" s="44">
        <f t="shared" si="8"/>
      </c>
      <c r="U79" s="44"/>
      <c r="V79" s="44"/>
      <c r="W79" s="44"/>
      <c r="X79" s="44"/>
    </row>
    <row r="80" ht="15" customHeight="1" spans="1:24" x14ac:dyDescent="0.25">
      <c r="A80" s="40"/>
      <c r="B80" s="46"/>
      <c r="C80" s="42"/>
      <c r="D80" s="43"/>
      <c r="E80" s="10"/>
      <c r="F80" s="44"/>
      <c r="G80" s="45"/>
      <c r="H80" s="46" t="str">
        <f>IFERROR(VLOOKUP(E80,배송지!A:C,3,0)," ")</f>
        <v> </v>
      </c>
      <c r="I80" s="44"/>
      <c r="J80" s="44" t="str">
        <f>IFERROR(VLOOKUP(E80,배송지!A:C,2,0)," ")</f>
        <v> </v>
      </c>
      <c r="K80" s="44"/>
      <c r="L80" s="44" t="str">
        <f t="shared" si="6"/>
        <v>  </v>
      </c>
      <c r="M80" s="43"/>
      <c r="N80" s="44" t="str">
        <f> IFERROR(INDEX('상품정보(1)'!R:R,MATCH(발주서!P80,'상품정보(1)'!F:F,0))," ")</f>
        <v> </v>
      </c>
      <c r="O80" s="43"/>
      <c r="P80" s="44" t="str">
        <f>IFERROR(INDEX('상품정보(1)'!F:F,MATCH(발주서!O80,'상품정보(1)'!E:E,0))," ")</f>
        <v> </v>
      </c>
      <c r="Q80" s="49"/>
      <c r="R80" s="44">
        <f t="shared" si="7"/>
      </c>
      <c r="S80" s="44"/>
      <c r="T80" s="44">
        <f t="shared" si="8"/>
      </c>
      <c r="U80" s="44"/>
      <c r="V80" s="44"/>
      <c r="W80" s="44"/>
      <c r="X80" s="44"/>
    </row>
    <row r="81" ht="15" customHeight="1" spans="1:24" x14ac:dyDescent="0.25">
      <c r="A81" s="40"/>
      <c r="B81" s="46"/>
      <c r="C81" s="42"/>
      <c r="D81" s="43"/>
      <c r="E81" s="10"/>
      <c r="F81" s="44"/>
      <c r="G81" s="45"/>
      <c r="H81" s="46" t="str">
        <f>IFERROR(VLOOKUP(E81,배송지!A:C,3,0)," ")</f>
        <v> </v>
      </c>
      <c r="I81" s="44"/>
      <c r="J81" s="44" t="str">
        <f>IFERROR(VLOOKUP(E81,배송지!A:C,2,0)," ")</f>
        <v> </v>
      </c>
      <c r="K81" s="44"/>
      <c r="L81" s="44" t="str">
        <f t="shared" si="6"/>
        <v>  </v>
      </c>
      <c r="M81" s="43"/>
      <c r="N81" s="44" t="str">
        <f> IFERROR(INDEX('상품정보(1)'!R:R,MATCH(발주서!P81,'상품정보(1)'!F:F,0))," ")</f>
        <v> </v>
      </c>
      <c r="O81" s="43"/>
      <c r="P81" s="44" t="str">
        <f>IFERROR(INDEX('상품정보(1)'!F:F,MATCH(발주서!O81,'상품정보(1)'!E:E,0))," ")</f>
        <v> </v>
      </c>
      <c r="Q81" s="49"/>
      <c r="R81" s="44">
        <f t="shared" si="7"/>
      </c>
      <c r="S81" s="44"/>
      <c r="T81" s="44">
        <f t="shared" si="8"/>
      </c>
      <c r="U81" s="44"/>
      <c r="V81" s="44"/>
      <c r="W81" s="44"/>
      <c r="X81" s="44"/>
    </row>
    <row r="82" ht="15" customHeight="1" spans="1:24" x14ac:dyDescent="0.25">
      <c r="A82" s="40"/>
      <c r="B82" s="46"/>
      <c r="C82" s="42"/>
      <c r="D82" s="43"/>
      <c r="E82" s="10"/>
      <c r="F82" s="44"/>
      <c r="G82" s="45"/>
      <c r="H82" s="46" t="str">
        <f>IFERROR(VLOOKUP(E82,배송지!A:C,3,0)," ")</f>
        <v> </v>
      </c>
      <c r="I82" s="44"/>
      <c r="J82" s="44" t="str">
        <f>IFERROR(VLOOKUP(E82,배송지!A:C,2,0)," ")</f>
        <v> </v>
      </c>
      <c r="K82" s="44"/>
      <c r="L82" s="44" t="str">
        <f t="shared" si="6"/>
        <v>  </v>
      </c>
      <c r="M82" s="43"/>
      <c r="N82" s="44" t="str">
        <f> IFERROR(INDEX('상품정보(1)'!R:R,MATCH(발주서!P82,'상품정보(1)'!F:F,0))," ")</f>
        <v> </v>
      </c>
      <c r="O82" s="43"/>
      <c r="P82" s="44" t="str">
        <f>IFERROR(INDEX('상품정보(1)'!F:F,MATCH(발주서!O82,'상품정보(1)'!E:E,0))," ")</f>
        <v> </v>
      </c>
      <c r="Q82" s="49"/>
      <c r="R82" s="44">
        <f t="shared" si="7"/>
      </c>
      <c r="S82" s="44"/>
      <c r="T82" s="44">
        <f t="shared" si="8"/>
      </c>
      <c r="U82" s="44"/>
      <c r="V82" s="44"/>
      <c r="W82" s="44"/>
      <c r="X82" s="44"/>
    </row>
    <row r="83" ht="15" customHeight="1" spans="1:24" x14ac:dyDescent="0.25">
      <c r="A83" s="40"/>
      <c r="B83" s="46"/>
      <c r="C83" s="42"/>
      <c r="D83" s="43"/>
      <c r="E83" s="10"/>
      <c r="F83" s="44"/>
      <c r="G83" s="45"/>
      <c r="H83" s="46" t="str">
        <f>IFERROR(VLOOKUP(E83,배송지!A:C,3,0)," ")</f>
        <v> </v>
      </c>
      <c r="I83" s="44"/>
      <c r="J83" s="44" t="str">
        <f>IFERROR(VLOOKUP(E83,배송지!A:C,2,0)," ")</f>
        <v> </v>
      </c>
      <c r="K83" s="44"/>
      <c r="L83" s="44" t="str">
        <f t="shared" si="6"/>
        <v>  </v>
      </c>
      <c r="M83" s="43"/>
      <c r="N83" s="44" t="str">
        <f> IFERROR(INDEX('상품정보(1)'!R:R,MATCH(발주서!P83,'상품정보(1)'!F:F,0))," ")</f>
        <v> </v>
      </c>
      <c r="O83" s="43"/>
      <c r="P83" s="44" t="str">
        <f>IFERROR(INDEX('상품정보(1)'!F:F,MATCH(발주서!O83,'상품정보(1)'!E:E,0))," ")</f>
        <v> </v>
      </c>
      <c r="Q83" s="49"/>
      <c r="R83" s="44">
        <f t="shared" si="7"/>
      </c>
      <c r="S83" s="44"/>
      <c r="T83" s="44">
        <f t="shared" si="8"/>
      </c>
      <c r="U83" s="44"/>
      <c r="V83" s="44"/>
      <c r="W83" s="44"/>
      <c r="X83" s="44"/>
    </row>
    <row r="84" ht="15" customHeight="1" spans="1:24" x14ac:dyDescent="0.25">
      <c r="A84" s="40"/>
      <c r="B84" s="46"/>
      <c r="C84" s="42"/>
      <c r="D84" s="43"/>
      <c r="E84" s="10"/>
      <c r="F84" s="44"/>
      <c r="G84" s="45"/>
      <c r="H84" s="46" t="str">
        <f>IFERROR(VLOOKUP(E84,배송지!A:C,3,0)," ")</f>
        <v> </v>
      </c>
      <c r="I84" s="44"/>
      <c r="J84" s="44" t="str">
        <f>IFERROR(VLOOKUP(E84,배송지!A:C,2,0)," ")</f>
        <v> </v>
      </c>
      <c r="K84" s="44"/>
      <c r="L84" s="44" t="str">
        <f t="shared" si="6"/>
        <v>  </v>
      </c>
      <c r="M84" s="43"/>
      <c r="N84" s="44" t="str">
        <f> IFERROR(INDEX('상품정보(1)'!R:R,MATCH(발주서!P84,'상품정보(1)'!F:F,0))," ")</f>
        <v> </v>
      </c>
      <c r="O84" s="43"/>
      <c r="P84" s="44" t="str">
        <f>IFERROR(INDEX('상품정보(1)'!F:F,MATCH(발주서!O84,'상품정보(1)'!E:E,0))," ")</f>
        <v> </v>
      </c>
      <c r="Q84" s="49"/>
      <c r="R84" s="44">
        <f t="shared" si="7"/>
      </c>
      <c r="S84" s="44"/>
      <c r="T84" s="44">
        <f t="shared" si="8"/>
      </c>
      <c r="U84" s="44"/>
      <c r="V84" s="44"/>
      <c r="W84" s="44"/>
      <c r="X84" s="44"/>
    </row>
    <row r="85" ht="15" customHeight="1" spans="1:24" x14ac:dyDescent="0.25">
      <c r="A85" s="40"/>
      <c r="B85" s="46"/>
      <c r="C85" s="42"/>
      <c r="D85" s="43"/>
      <c r="E85" s="10"/>
      <c r="F85" s="44"/>
      <c r="G85" s="45"/>
      <c r="H85" s="46" t="str">
        <f>IFERROR(VLOOKUP(E85,배송지!A:C,3,0)," ")</f>
        <v> </v>
      </c>
      <c r="I85" s="44"/>
      <c r="J85" s="44" t="str">
        <f>IFERROR(VLOOKUP(E85,배송지!A:C,2,0)," ")</f>
        <v> </v>
      </c>
      <c r="K85" s="44"/>
      <c r="L85" s="44" t="str">
        <f t="shared" si="6"/>
        <v>  </v>
      </c>
      <c r="M85" s="43"/>
      <c r="N85" s="44" t="str">
        <f> IFERROR(INDEX('상품정보(1)'!R:R,MATCH(발주서!P85,'상품정보(1)'!F:F,0))," ")</f>
        <v> </v>
      </c>
      <c r="O85" s="43"/>
      <c r="P85" s="44" t="str">
        <f>IFERROR(INDEX('상품정보(1)'!F:F,MATCH(발주서!O85,'상품정보(1)'!E:E,0))," ")</f>
        <v> </v>
      </c>
      <c r="Q85" s="49"/>
      <c r="R85" s="44">
        <f t="shared" si="7"/>
      </c>
      <c r="S85" s="44"/>
      <c r="T85" s="44">
        <f t="shared" si="8"/>
      </c>
      <c r="U85" s="44"/>
      <c r="V85" s="44"/>
      <c r="W85" s="44"/>
      <c r="X85" s="44"/>
    </row>
    <row r="86" ht="15" customHeight="1" spans="1:24" x14ac:dyDescent="0.25">
      <c r="A86" s="40"/>
      <c r="B86" s="46"/>
      <c r="C86" s="42"/>
      <c r="D86" s="43"/>
      <c r="E86" s="10"/>
      <c r="F86" s="44"/>
      <c r="G86" s="45"/>
      <c r="H86" s="46" t="str">
        <f>IFERROR(VLOOKUP(E86,배송지!A:C,3,0)," ")</f>
        <v> </v>
      </c>
      <c r="I86" s="44"/>
      <c r="J86" s="44" t="str">
        <f>IFERROR(VLOOKUP(E86,배송지!A:C,2,0)," ")</f>
        <v> </v>
      </c>
      <c r="K86" s="44"/>
      <c r="L86" s="44" t="str">
        <f t="shared" si="6"/>
        <v>  </v>
      </c>
      <c r="M86" s="43"/>
      <c r="N86" s="44" t="str">
        <f> IFERROR(INDEX('상품정보(1)'!R:R,MATCH(발주서!P86,'상품정보(1)'!F:F,0))," ")</f>
        <v> </v>
      </c>
      <c r="O86" s="43"/>
      <c r="P86" s="44" t="str">
        <f>IFERROR(INDEX('상품정보(1)'!F:F,MATCH(발주서!O86,'상품정보(1)'!E:E,0))," ")</f>
        <v> </v>
      </c>
      <c r="Q86" s="49"/>
      <c r="R86" s="44">
        <f t="shared" si="7"/>
      </c>
      <c r="S86" s="44"/>
      <c r="T86" s="44">
        <f t="shared" si="8"/>
      </c>
      <c r="U86" s="44"/>
      <c r="V86" s="44"/>
      <c r="W86" s="44"/>
      <c r="X86" s="44"/>
    </row>
    <row r="87" ht="15" customHeight="1" spans="1:24" x14ac:dyDescent="0.25">
      <c r="A87" s="40"/>
      <c r="B87" s="46"/>
      <c r="C87" s="42"/>
      <c r="D87" s="43"/>
      <c r="E87" s="10"/>
      <c r="F87" s="44"/>
      <c r="G87" s="45"/>
      <c r="H87" s="46" t="str">
        <f>IFERROR(VLOOKUP(E87,배송지!A:C,3,0)," ")</f>
        <v> </v>
      </c>
      <c r="I87" s="44"/>
      <c r="J87" s="44" t="str">
        <f>IFERROR(VLOOKUP(E87,배송지!A:C,2,0)," ")</f>
        <v> </v>
      </c>
      <c r="K87" s="44"/>
      <c r="L87" s="44" t="str">
        <f t="shared" si="6"/>
        <v>  </v>
      </c>
      <c r="M87" s="43"/>
      <c r="N87" s="44" t="str">
        <f> IFERROR(INDEX('상품정보(1)'!R:R,MATCH(발주서!P87,'상품정보(1)'!F:F,0))," ")</f>
        <v> </v>
      </c>
      <c r="O87" s="43"/>
      <c r="P87" s="44" t="str">
        <f>IFERROR(INDEX('상품정보(1)'!F:F,MATCH(발주서!O87,'상품정보(1)'!E:E,0))," ")</f>
        <v> </v>
      </c>
      <c r="Q87" s="49"/>
      <c r="R87" s="44">
        <f t="shared" si="7"/>
      </c>
      <c r="S87" s="44"/>
      <c r="T87" s="44">
        <f t="shared" si="8"/>
      </c>
      <c r="U87" s="44"/>
      <c r="V87" s="44"/>
      <c r="W87" s="44"/>
      <c r="X87" s="44"/>
    </row>
    <row r="88" ht="15" customHeight="1" spans="1:24" x14ac:dyDescent="0.25">
      <c r="A88" s="40"/>
      <c r="B88" s="46"/>
      <c r="C88" s="42"/>
      <c r="D88" s="43"/>
      <c r="E88" s="10"/>
      <c r="F88" s="44"/>
      <c r="G88" s="45"/>
      <c r="H88" s="46" t="str">
        <f>IFERROR(VLOOKUP(E88,배송지!A:C,3,0)," ")</f>
        <v> </v>
      </c>
      <c r="I88" s="44"/>
      <c r="J88" s="44" t="str">
        <f>IFERROR(VLOOKUP(E88,배송지!A:C,2,0)," ")</f>
        <v> </v>
      </c>
      <c r="K88" s="44"/>
      <c r="L88" s="44" t="str">
        <f t="shared" si="6"/>
        <v>  </v>
      </c>
      <c r="M88" s="43"/>
      <c r="N88" s="44" t="str">
        <f> IFERROR(INDEX('상품정보(1)'!R:R,MATCH(발주서!P88,'상품정보(1)'!F:F,0))," ")</f>
        <v> </v>
      </c>
      <c r="O88" s="43"/>
      <c r="P88" s="44" t="str">
        <f>IFERROR(INDEX('상품정보(1)'!F:F,MATCH(발주서!O88,'상품정보(1)'!E:E,0))," ")</f>
        <v> </v>
      </c>
      <c r="Q88" s="49"/>
      <c r="R88" s="44">
        <f t="shared" si="7"/>
      </c>
      <c r="S88" s="44"/>
      <c r="T88" s="44">
        <f t="shared" si="8"/>
      </c>
      <c r="U88" s="44"/>
      <c r="V88" s="44"/>
      <c r="W88" s="44"/>
      <c r="X88" s="44"/>
    </row>
    <row r="89" ht="15" customHeight="1" spans="1:24" x14ac:dyDescent="0.25">
      <c r="A89" s="40"/>
      <c r="B89" s="46"/>
      <c r="C89" s="42"/>
      <c r="D89" s="43"/>
      <c r="E89" s="10"/>
      <c r="F89" s="44"/>
      <c r="G89" s="45"/>
      <c r="H89" s="46" t="str">
        <f>IFERROR(VLOOKUP(E89,배송지!A:C,3,0)," ")</f>
        <v> </v>
      </c>
      <c r="I89" s="44"/>
      <c r="J89" s="44" t="str">
        <f>IFERROR(VLOOKUP(E89,배송지!A:C,2,0)," ")</f>
        <v> </v>
      </c>
      <c r="K89" s="44"/>
      <c r="L89" s="44" t="str">
        <f t="shared" si="6"/>
        <v>  </v>
      </c>
      <c r="M89" s="43"/>
      <c r="N89" s="44" t="str">
        <f> IFERROR(INDEX('상품정보(1)'!R:R,MATCH(발주서!P89,'상품정보(1)'!F:F,0))," ")</f>
        <v> </v>
      </c>
      <c r="O89" s="43"/>
      <c r="P89" s="44" t="str">
        <f>IFERROR(INDEX('상품정보(1)'!F:F,MATCH(발주서!O89,'상품정보(1)'!E:E,0))," ")</f>
        <v> </v>
      </c>
      <c r="Q89" s="49"/>
      <c r="R89" s="44">
        <f t="shared" si="7"/>
      </c>
      <c r="S89" s="44"/>
      <c r="T89" s="44">
        <f t="shared" si="8"/>
      </c>
      <c r="U89" s="44"/>
      <c r="V89" s="44"/>
      <c r="W89" s="44"/>
      <c r="X89" s="44"/>
    </row>
    <row r="90" ht="15" customHeight="1" spans="1:24" x14ac:dyDescent="0.25">
      <c r="A90" s="40"/>
      <c r="B90" s="46"/>
      <c r="C90" s="42"/>
      <c r="D90" s="43"/>
      <c r="E90" s="10"/>
      <c r="F90" s="44"/>
      <c r="G90" s="45"/>
      <c r="H90" s="46" t="str">
        <f>IFERROR(VLOOKUP(E90,배송지!A:C,3,0)," ")</f>
        <v> </v>
      </c>
      <c r="I90" s="44"/>
      <c r="J90" s="44" t="str">
        <f>IFERROR(VLOOKUP(E90,배송지!A:C,2,0)," ")</f>
        <v> </v>
      </c>
      <c r="K90" s="44"/>
      <c r="L90" s="44" t="str">
        <f t="shared" si="6"/>
        <v>  </v>
      </c>
      <c r="M90" s="43"/>
      <c r="N90" s="44" t="str">
        <f> IFERROR(INDEX('상품정보(1)'!R:R,MATCH(발주서!P90,'상품정보(1)'!F:F,0))," ")</f>
        <v> </v>
      </c>
      <c r="O90" s="43"/>
      <c r="P90" s="44" t="str">
        <f>IFERROR(INDEX('상품정보(1)'!F:F,MATCH(발주서!O90,'상품정보(1)'!E:E,0))," ")</f>
        <v> </v>
      </c>
      <c r="Q90" s="49"/>
      <c r="R90" s="44">
        <f t="shared" si="7"/>
      </c>
      <c r="S90" s="44"/>
      <c r="T90" s="44">
        <f t="shared" si="8"/>
      </c>
      <c r="U90" s="44"/>
      <c r="V90" s="44"/>
      <c r="W90" s="44"/>
      <c r="X90" s="44"/>
    </row>
    <row r="91" ht="15" customHeight="1" spans="1:24" x14ac:dyDescent="0.25">
      <c r="A91" s="40"/>
      <c r="B91" s="46"/>
      <c r="C91" s="42"/>
      <c r="D91" s="43"/>
      <c r="E91" s="10"/>
      <c r="F91" s="44"/>
      <c r="G91" s="45"/>
      <c r="H91" s="46" t="str">
        <f>IFERROR(VLOOKUP(E91,배송지!A:C,3,0)," ")</f>
        <v> </v>
      </c>
      <c r="I91" s="44"/>
      <c r="J91" s="44" t="str">
        <f>IFERROR(VLOOKUP(E91,배송지!A:C,2,0)," ")</f>
        <v> </v>
      </c>
      <c r="K91" s="44"/>
      <c r="L91" s="44" t="str">
        <f t="shared" si="6"/>
        <v>  </v>
      </c>
      <c r="M91" s="43"/>
      <c r="N91" s="44" t="str">
        <f> IFERROR(INDEX('상품정보(1)'!R:R,MATCH(발주서!P91,'상품정보(1)'!F:F,0))," ")</f>
        <v> </v>
      </c>
      <c r="O91" s="43"/>
      <c r="P91" s="44" t="str">
        <f>IFERROR(INDEX('상품정보(1)'!F:F,MATCH(발주서!O91,'상품정보(1)'!E:E,0))," ")</f>
        <v> </v>
      </c>
      <c r="Q91" s="49"/>
      <c r="R91" s="44">
        <f t="shared" si="7"/>
      </c>
      <c r="S91" s="44"/>
      <c r="T91" s="44">
        <f t="shared" si="8"/>
      </c>
      <c r="U91" s="44"/>
      <c r="V91" s="44"/>
      <c r="W91" s="44"/>
      <c r="X91" s="44"/>
    </row>
    <row r="92" ht="15" customHeight="1" spans="1:24" x14ac:dyDescent="0.25">
      <c r="A92" s="40"/>
      <c r="B92" s="46"/>
      <c r="C92" s="42"/>
      <c r="D92" s="43"/>
      <c r="E92" s="10"/>
      <c r="F92" s="44"/>
      <c r="G92" s="45"/>
      <c r="H92" s="46" t="str">
        <f>IFERROR(VLOOKUP(E92,배송지!A:C,3,0)," ")</f>
        <v> </v>
      </c>
      <c r="I92" s="44"/>
      <c r="J92" s="44" t="str">
        <f>IFERROR(VLOOKUP(E92,배송지!A:C,2,0)," ")</f>
        <v> </v>
      </c>
      <c r="K92" s="44"/>
      <c r="L92" s="44" t="str">
        <f t="shared" si="6"/>
        <v>  </v>
      </c>
      <c r="M92" s="43"/>
      <c r="N92" s="44" t="str">
        <f> IFERROR(INDEX('상품정보(1)'!R:R,MATCH(발주서!P92,'상품정보(1)'!F:F,0))," ")</f>
        <v> </v>
      </c>
      <c r="O92" s="43"/>
      <c r="P92" s="44" t="str">
        <f>IFERROR(INDEX('상품정보(1)'!F:F,MATCH(발주서!O92,'상품정보(1)'!E:E,0))," ")</f>
        <v> </v>
      </c>
      <c r="Q92" s="49"/>
      <c r="R92" s="44">
        <f t="shared" si="7"/>
      </c>
      <c r="S92" s="44"/>
      <c r="T92" s="44">
        <f t="shared" si="8"/>
      </c>
      <c r="U92" s="44"/>
      <c r="V92" s="44"/>
      <c r="W92" s="44"/>
      <c r="X92" s="44"/>
    </row>
    <row r="93" ht="15" customHeight="1" spans="1:24" x14ac:dyDescent="0.25">
      <c r="A93" s="40"/>
      <c r="B93" s="46"/>
      <c r="C93" s="42"/>
      <c r="D93" s="43"/>
      <c r="E93" s="10"/>
      <c r="F93" s="44"/>
      <c r="G93" s="45"/>
      <c r="H93" s="46" t="str">
        <f>IFERROR(VLOOKUP(E93,배송지!A:C,3,0)," ")</f>
        <v> </v>
      </c>
      <c r="I93" s="44"/>
      <c r="J93" s="44" t="str">
        <f>IFERROR(VLOOKUP(E93,배송지!A:C,2,0)," ")</f>
        <v> </v>
      </c>
      <c r="K93" s="44"/>
      <c r="L93" s="44" t="str">
        <f t="shared" si="6"/>
        <v>  </v>
      </c>
      <c r="M93" s="43"/>
      <c r="N93" s="44" t="str">
        <f> IFERROR(INDEX('상품정보(1)'!R:R,MATCH(발주서!P93,'상품정보(1)'!F:F,0))," ")</f>
        <v> </v>
      </c>
      <c r="O93" s="43"/>
      <c r="P93" s="44" t="str">
        <f>IFERROR(INDEX('상품정보(1)'!F:F,MATCH(발주서!O93,'상품정보(1)'!E:E,0))," ")</f>
        <v> </v>
      </c>
      <c r="Q93" s="49"/>
      <c r="R93" s="44">
        <f t="shared" si="7"/>
      </c>
      <c r="S93" s="44"/>
      <c r="T93" s="44">
        <f t="shared" si="8"/>
      </c>
      <c r="U93" s="44"/>
      <c r="V93" s="44"/>
      <c r="W93" s="44"/>
      <c r="X93" s="44"/>
    </row>
    <row r="94" ht="15" customHeight="1" spans="1:24" x14ac:dyDescent="0.25">
      <c r="A94" s="40"/>
      <c r="B94" s="46"/>
      <c r="C94" s="42"/>
      <c r="D94" s="43"/>
      <c r="E94" s="10"/>
      <c r="F94" s="44"/>
      <c r="G94" s="45"/>
      <c r="H94" s="46" t="str">
        <f>IFERROR(VLOOKUP(E94,배송지!A:C,3,0)," ")</f>
        <v> </v>
      </c>
      <c r="I94" s="44"/>
      <c r="J94" s="44" t="str">
        <f>IFERROR(VLOOKUP(E94,배송지!A:C,2,0)," ")</f>
        <v> </v>
      </c>
      <c r="K94" s="44"/>
      <c r="L94" s="44" t="str">
        <f t="shared" si="6"/>
        <v>  </v>
      </c>
      <c r="M94" s="43"/>
      <c r="N94" s="44" t="str">
        <f> IFERROR(INDEX('상품정보(1)'!R:R,MATCH(발주서!P94,'상품정보(1)'!F:F,0))," ")</f>
        <v> </v>
      </c>
      <c r="O94" s="43"/>
      <c r="P94" s="44" t="str">
        <f>IFERROR(INDEX('상품정보(1)'!F:F,MATCH(발주서!O94,'상품정보(1)'!E:E,0))," ")</f>
        <v> </v>
      </c>
      <c r="Q94" s="49"/>
      <c r="R94" s="44">
        <f t="shared" si="7"/>
      </c>
      <c r="S94" s="44"/>
      <c r="T94" s="44">
        <f t="shared" si="8"/>
      </c>
      <c r="U94" s="44"/>
      <c r="V94" s="44"/>
      <c r="W94" s="44"/>
      <c r="X94" s="44"/>
    </row>
    <row r="95" ht="15" customHeight="1" spans="1:24" x14ac:dyDescent="0.25">
      <c r="A95" s="40"/>
      <c r="B95" s="46"/>
      <c r="C95" s="42"/>
      <c r="D95" s="43"/>
      <c r="E95" s="10"/>
      <c r="F95" s="44"/>
      <c r="G95" s="45"/>
      <c r="H95" s="46" t="str">
        <f>IFERROR(VLOOKUP(E95,배송지!A:C,3,0)," ")</f>
        <v> </v>
      </c>
      <c r="I95" s="44"/>
      <c r="J95" s="44" t="str">
        <f>IFERROR(VLOOKUP(E95,배송지!A:C,2,0)," ")</f>
        <v> </v>
      </c>
      <c r="K95" s="44"/>
      <c r="L95" s="44" t="str">
        <f t="shared" si="6"/>
        <v>  </v>
      </c>
      <c r="M95" s="43"/>
      <c r="N95" s="44" t="str">
        <f> IFERROR(INDEX('상품정보(1)'!R:R,MATCH(발주서!P95,'상품정보(1)'!F:F,0))," ")</f>
        <v> </v>
      </c>
      <c r="O95" s="43"/>
      <c r="P95" s="44" t="str">
        <f>IFERROR(INDEX('상품정보(1)'!F:F,MATCH(발주서!O95,'상품정보(1)'!E:E,0))," ")</f>
        <v> </v>
      </c>
      <c r="Q95" s="49"/>
      <c r="R95" s="44">
        <f t="shared" si="7"/>
      </c>
      <c r="S95" s="44"/>
      <c r="T95" s="44">
        <f t="shared" si="8"/>
      </c>
      <c r="U95" s="44"/>
      <c r="V95" s="44"/>
      <c r="W95" s="44"/>
      <c r="X95" s="44"/>
    </row>
    <row r="96" ht="15" customHeight="1" spans="1:24" x14ac:dyDescent="0.25">
      <c r="A96" s="40"/>
      <c r="B96" s="46"/>
      <c r="C96" s="42"/>
      <c r="D96" s="43"/>
      <c r="E96" s="10"/>
      <c r="F96" s="44"/>
      <c r="G96" s="45"/>
      <c r="H96" s="46" t="str">
        <f>IFERROR(VLOOKUP(E96,배송지!A:C,3,0)," ")</f>
        <v> </v>
      </c>
      <c r="I96" s="44"/>
      <c r="J96" s="44" t="str">
        <f>IFERROR(VLOOKUP(E96,배송지!A:C,2,0)," ")</f>
        <v> </v>
      </c>
      <c r="K96" s="44"/>
      <c r="L96" s="44" t="str">
        <f t="shared" si="6"/>
        <v>  </v>
      </c>
      <c r="M96" s="43"/>
      <c r="N96" s="44" t="str">
        <f> IFERROR(INDEX('상품정보(1)'!R:R,MATCH(발주서!P96,'상품정보(1)'!F:F,0))," ")</f>
        <v> </v>
      </c>
      <c r="O96" s="43"/>
      <c r="P96" s="44" t="str">
        <f>IFERROR(INDEX('상품정보(1)'!F:F,MATCH(발주서!O96,'상품정보(1)'!E:E,0))," ")</f>
        <v> </v>
      </c>
      <c r="Q96" s="49"/>
      <c r="R96" s="44">
        <f t="shared" si="7"/>
      </c>
      <c r="S96" s="44"/>
      <c r="T96" s="44">
        <f t="shared" si="8"/>
      </c>
      <c r="U96" s="44"/>
      <c r="V96" s="44"/>
      <c r="W96" s="44"/>
      <c r="X96" s="44"/>
    </row>
    <row r="97" ht="15" customHeight="1" spans="1:24" x14ac:dyDescent="0.25">
      <c r="A97" s="40"/>
      <c r="B97" s="46"/>
      <c r="C97" s="42"/>
      <c r="D97" s="43"/>
      <c r="E97" s="10"/>
      <c r="F97" s="44"/>
      <c r="G97" s="45"/>
      <c r="H97" s="46" t="str">
        <f>IFERROR(VLOOKUP(E97,배송지!A:C,3,0)," ")</f>
        <v> </v>
      </c>
      <c r="I97" s="44"/>
      <c r="J97" s="44" t="str">
        <f>IFERROR(VLOOKUP(E97,배송지!A:C,2,0)," ")</f>
        <v> </v>
      </c>
      <c r="K97" s="44"/>
      <c r="L97" s="44" t="str">
        <f t="shared" si="6"/>
        <v>  </v>
      </c>
      <c r="M97" s="43"/>
      <c r="N97" s="44" t="str">
        <f> IFERROR(INDEX('상품정보(1)'!R:R,MATCH(발주서!P97,'상품정보(1)'!F:F,0))," ")</f>
        <v> </v>
      </c>
      <c r="O97" s="43"/>
      <c r="P97" s="44" t="str">
        <f>IFERROR(INDEX('상품정보(1)'!F:F,MATCH(발주서!O97,'상품정보(1)'!E:E,0))," ")</f>
        <v> </v>
      </c>
      <c r="Q97" s="49"/>
      <c r="R97" s="44">
        <f t="shared" si="7"/>
      </c>
      <c r="S97" s="44"/>
      <c r="T97" s="44">
        <f t="shared" si="8"/>
      </c>
      <c r="U97" s="44"/>
      <c r="V97" s="44"/>
      <c r="W97" s="44"/>
      <c r="X97" s="44"/>
    </row>
    <row r="98" ht="15" customHeight="1" spans="1:24" x14ac:dyDescent="0.25">
      <c r="A98" s="40"/>
      <c r="B98" s="46"/>
      <c r="C98" s="42"/>
      <c r="D98" s="43"/>
      <c r="E98" s="10"/>
      <c r="F98" s="44"/>
      <c r="G98" s="45"/>
      <c r="H98" s="46" t="str">
        <f>IFERROR(VLOOKUP(E98,배송지!A:C,3,0)," ")</f>
        <v> </v>
      </c>
      <c r="I98" s="44"/>
      <c r="J98" s="44" t="str">
        <f>IFERROR(VLOOKUP(E98,배송지!A:C,2,0)," ")</f>
        <v> </v>
      </c>
      <c r="K98" s="44"/>
      <c r="L98" s="44" t="str">
        <f t="shared" si="6"/>
        <v>  </v>
      </c>
      <c r="M98" s="43"/>
      <c r="N98" s="44" t="str">
        <f> IFERROR(INDEX('상품정보(1)'!R:R,MATCH(발주서!P98,'상품정보(1)'!F:F,0))," ")</f>
        <v> </v>
      </c>
      <c r="O98" s="43"/>
      <c r="P98" s="44" t="str">
        <f>IFERROR(INDEX('상품정보(1)'!F:F,MATCH(발주서!O98,'상품정보(1)'!E:E,0))," ")</f>
        <v> </v>
      </c>
      <c r="Q98" s="49"/>
      <c r="R98" s="44">
        <f t="shared" si="7"/>
      </c>
      <c r="S98" s="44"/>
      <c r="T98" s="44">
        <f t="shared" si="8"/>
      </c>
      <c r="U98" s="44"/>
      <c r="V98" s="44"/>
      <c r="W98" s="44"/>
      <c r="X98" s="44"/>
    </row>
    <row r="99" ht="15" customHeight="1" spans="1:24" x14ac:dyDescent="0.25">
      <c r="A99" s="40"/>
      <c r="B99" s="46"/>
      <c r="C99" s="42"/>
      <c r="D99" s="43"/>
      <c r="E99" s="10"/>
      <c r="F99" s="44"/>
      <c r="G99" s="45"/>
      <c r="H99" s="46" t="str">
        <f>IFERROR(VLOOKUP(E99,배송지!A:C,3,0)," ")</f>
        <v> </v>
      </c>
      <c r="I99" s="44"/>
      <c r="J99" s="44" t="str">
        <f>IFERROR(VLOOKUP(E99,배송지!A:C,2,0)," ")</f>
        <v> </v>
      </c>
      <c r="K99" s="44"/>
      <c r="L99" s="44" t="str">
        <f t="shared" si="6"/>
        <v>  </v>
      </c>
      <c r="M99" s="43"/>
      <c r="N99" s="44" t="str">
        <f> IFERROR(INDEX('상품정보(1)'!R:R,MATCH(발주서!P99,'상품정보(1)'!F:F,0))," ")</f>
        <v> </v>
      </c>
      <c r="O99" s="43"/>
      <c r="P99" s="44" t="str">
        <f>IFERROR(INDEX('상품정보(1)'!F:F,MATCH(발주서!O99,'상품정보(1)'!E:E,0))," ")</f>
        <v> </v>
      </c>
      <c r="Q99" s="49"/>
      <c r="R99" s="44">
        <f t="shared" si="7"/>
      </c>
      <c r="S99" s="44"/>
      <c r="T99" s="44">
        <f t="shared" si="8"/>
      </c>
      <c r="U99" s="44"/>
      <c r="V99" s="44"/>
      <c r="W99" s="44"/>
      <c r="X99" s="44"/>
    </row>
    <row r="100" ht="15" customHeight="1" spans="1:24" x14ac:dyDescent="0.25">
      <c r="A100" s="40"/>
      <c r="B100" s="46"/>
      <c r="C100" s="42"/>
      <c r="D100" s="43"/>
      <c r="E100" s="10"/>
      <c r="F100" s="44"/>
      <c r="G100" s="45"/>
      <c r="H100" s="46" t="str">
        <f>IFERROR(VLOOKUP(E100,배송지!A:C,3,0)," ")</f>
        <v> </v>
      </c>
      <c r="I100" s="44"/>
      <c r="J100" s="44" t="str">
        <f>IFERROR(VLOOKUP(E100,배송지!A:C,2,0)," ")</f>
        <v> </v>
      </c>
      <c r="K100" s="44"/>
      <c r="L100" s="44" t="str">
        <f t="shared" si="6"/>
        <v>  </v>
      </c>
      <c r="M100" s="43"/>
      <c r="N100" s="44" t="str">
        <f> IFERROR(INDEX('상품정보(1)'!R:R,MATCH(발주서!P100,'상품정보(1)'!F:F,0))," ")</f>
        <v> </v>
      </c>
      <c r="O100" s="43"/>
      <c r="P100" s="44" t="str">
        <f>IFERROR(INDEX('상품정보(1)'!F:F,MATCH(발주서!O100,'상품정보(1)'!E:E,0))," ")</f>
        <v> </v>
      </c>
      <c r="Q100" s="49"/>
      <c r="R100" s="44">
        <f t="shared" si="7"/>
      </c>
      <c r="S100" s="44"/>
      <c r="T100" s="44">
        <f t="shared" si="8"/>
      </c>
      <c r="U100" s="44"/>
      <c r="V100" s="44"/>
      <c r="W100" s="44"/>
      <c r="X100" s="44"/>
    </row>
    <row r="101" ht="15" customHeight="1" spans="1:24" x14ac:dyDescent="0.25">
      <c r="A101" s="40"/>
      <c r="B101" s="46"/>
      <c r="C101" s="42"/>
      <c r="D101" s="43"/>
      <c r="E101" s="10"/>
      <c r="F101" s="44"/>
      <c r="G101" s="45"/>
      <c r="H101" s="46" t="str">
        <f>IFERROR(VLOOKUP(E101,배송지!A:C,3,0)," ")</f>
        <v> </v>
      </c>
      <c r="I101" s="44"/>
      <c r="J101" s="44" t="str">
        <f>IFERROR(VLOOKUP(E101,배송지!A:C,2,0)," ")</f>
        <v> </v>
      </c>
      <c r="K101" s="44"/>
      <c r="L101" s="44" t="str">
        <f t="shared" si="6"/>
        <v>  </v>
      </c>
      <c r="M101" s="43"/>
      <c r="N101" s="44" t="str">
        <f> IFERROR(INDEX('상품정보(1)'!R:R,MATCH(발주서!P101,'상품정보(1)'!F:F,0))," ")</f>
        <v> </v>
      </c>
      <c r="O101" s="43"/>
      <c r="P101" s="44" t="str">
        <f>IFERROR(INDEX('상품정보(1)'!F:F,MATCH(발주서!O101,'상품정보(1)'!E:E,0))," ")</f>
        <v> </v>
      </c>
      <c r="Q101" s="49"/>
      <c r="R101" s="44">
        <f t="shared" si="7"/>
      </c>
      <c r="S101" s="44"/>
      <c r="T101" s="44">
        <f t="shared" si="8"/>
      </c>
      <c r="U101" s="44"/>
      <c r="V101" s="44"/>
      <c r="W101" s="44"/>
      <c r="X101" s="44"/>
    </row>
    <row r="102" ht="15" customHeight="1" spans="1:24" x14ac:dyDescent="0.25">
      <c r="A102" s="40"/>
      <c r="B102" s="46"/>
      <c r="C102" s="42"/>
      <c r="D102" s="43"/>
      <c r="E102" s="10"/>
      <c r="F102" s="44"/>
      <c r="G102" s="45"/>
      <c r="H102" s="46" t="str">
        <f>IFERROR(VLOOKUP(E102,배송지!A:C,3,0)," ")</f>
        <v> </v>
      </c>
      <c r="I102" s="44"/>
      <c r="J102" s="44" t="str">
        <f>IFERROR(VLOOKUP(E102,배송지!A:C,2,0)," ")</f>
        <v> </v>
      </c>
      <c r="K102" s="44"/>
      <c r="L102" s="44" t="str">
        <f t="shared" si="6"/>
        <v>  </v>
      </c>
      <c r="M102" s="43"/>
      <c r="N102" s="44" t="str">
        <f> IFERROR(INDEX('상품정보(1)'!R:R,MATCH(발주서!P102,'상품정보(1)'!F:F,0))," ")</f>
        <v> </v>
      </c>
      <c r="O102" s="43"/>
      <c r="P102" s="44" t="str">
        <f>IFERROR(INDEX('상품정보(1)'!F:F,MATCH(발주서!O102,'상품정보(1)'!E:E,0))," ")</f>
        <v> </v>
      </c>
      <c r="Q102" s="49"/>
      <c r="R102" s="44">
        <f t="shared" si="7"/>
      </c>
      <c r="S102" s="44"/>
      <c r="T102" s="44">
        <f t="shared" si="8"/>
      </c>
      <c r="U102" s="44"/>
      <c r="V102" s="44"/>
      <c r="W102" s="44"/>
      <c r="X102" s="44"/>
    </row>
    <row r="103" ht="15" customHeight="1" spans="1:24" x14ac:dyDescent="0.25">
      <c r="A103" s="40"/>
      <c r="B103" s="46"/>
      <c r="C103" s="42"/>
      <c r="D103" s="43"/>
      <c r="E103" s="10"/>
      <c r="F103" s="44"/>
      <c r="G103" s="45"/>
      <c r="H103" s="46" t="str">
        <f>IFERROR(VLOOKUP(E103,배송지!A:C,3,0)," ")</f>
        <v> </v>
      </c>
      <c r="I103" s="44"/>
      <c r="J103" s="44" t="str">
        <f>IFERROR(VLOOKUP(E103,배송지!A:C,2,0)," ")</f>
        <v> </v>
      </c>
      <c r="K103" s="44"/>
      <c r="L103" s="44" t="str">
        <f t="shared" si="6"/>
        <v>  </v>
      </c>
      <c r="M103" s="43"/>
      <c r="N103" s="44" t="str">
        <f> IFERROR(INDEX('상품정보(1)'!R:R,MATCH(발주서!P103,'상품정보(1)'!F:F,0))," ")</f>
        <v> </v>
      </c>
      <c r="O103" s="43"/>
      <c r="P103" s="44" t="str">
        <f>IFERROR(INDEX('상품정보(1)'!F:F,MATCH(발주서!O103,'상품정보(1)'!E:E,0))," ")</f>
        <v> </v>
      </c>
      <c r="Q103" s="49"/>
      <c r="R103" s="44">
        <f t="shared" si="7"/>
      </c>
      <c r="S103" s="44"/>
      <c r="T103" s="44">
        <f t="shared" si="8"/>
      </c>
      <c r="U103" s="44"/>
      <c r="V103" s="44"/>
      <c r="W103" s="44"/>
      <c r="X103" s="44"/>
    </row>
    <row r="104" ht="15" customHeight="1" spans="1:24" x14ac:dyDescent="0.25">
      <c r="A104" s="40"/>
      <c r="B104" s="46"/>
      <c r="C104" s="42"/>
      <c r="D104" s="43"/>
      <c r="E104" s="10"/>
      <c r="F104" s="44"/>
      <c r="G104" s="45"/>
      <c r="H104" s="46" t="str">
        <f>IFERROR(VLOOKUP(E104,배송지!A:C,3,0)," ")</f>
        <v> </v>
      </c>
      <c r="I104" s="44"/>
      <c r="J104" s="44" t="str">
        <f>IFERROR(VLOOKUP(E104,배송지!A:C,2,0)," ")</f>
        <v> </v>
      </c>
      <c r="K104" s="44"/>
      <c r="L104" s="44" t="str">
        <f t="shared" si="6"/>
        <v>  </v>
      </c>
      <c r="M104" s="43"/>
      <c r="N104" s="44" t="str">
        <f> IFERROR(INDEX('상품정보(1)'!R:R,MATCH(발주서!P104,'상품정보(1)'!F:F,0))," ")</f>
        <v> </v>
      </c>
      <c r="O104" s="43"/>
      <c r="P104" s="44" t="str">
        <f>IFERROR(INDEX('상품정보(1)'!F:F,MATCH(발주서!O104,'상품정보(1)'!E:E,0))," ")</f>
        <v> </v>
      </c>
      <c r="Q104" s="49"/>
      <c r="R104" s="44">
        <f t="shared" si="7"/>
      </c>
      <c r="S104" s="44"/>
      <c r="T104" s="44">
        <f t="shared" si="8"/>
      </c>
      <c r="U104" s="44"/>
      <c r="V104" s="44"/>
      <c r="W104" s="44"/>
      <c r="X104" s="44"/>
    </row>
    <row r="105" ht="15" customHeight="1" spans="1:24" x14ac:dyDescent="0.25">
      <c r="A105" s="40"/>
      <c r="B105" s="46"/>
      <c r="C105" s="42"/>
      <c r="D105" s="43"/>
      <c r="E105" s="10"/>
      <c r="F105" s="44"/>
      <c r="G105" s="45"/>
      <c r="H105" s="46" t="str">
        <f>IFERROR(VLOOKUP(E105,배송지!A:C,3,0)," ")</f>
        <v> </v>
      </c>
      <c r="I105" s="44"/>
      <c r="J105" s="44" t="str">
        <f>IFERROR(VLOOKUP(E105,배송지!A:C,2,0)," ")</f>
        <v> </v>
      </c>
      <c r="K105" s="44"/>
      <c r="L105" s="44" t="str">
        <f t="shared" si="6"/>
        <v>  </v>
      </c>
      <c r="M105" s="43"/>
      <c r="N105" s="44" t="str">
        <f> IFERROR(INDEX('상품정보(1)'!R:R,MATCH(발주서!P105,'상품정보(1)'!F:F,0))," ")</f>
        <v> </v>
      </c>
      <c r="O105" s="43"/>
      <c r="P105" s="44" t="str">
        <f>IFERROR(INDEX('상품정보(1)'!F:F,MATCH(발주서!O105,'상품정보(1)'!E:E,0))," ")</f>
        <v> </v>
      </c>
      <c r="Q105" s="49"/>
      <c r="R105" s="44">
        <f t="shared" si="7"/>
      </c>
      <c r="S105" s="44"/>
      <c r="T105" s="44">
        <f t="shared" si="8"/>
      </c>
      <c r="U105" s="44"/>
      <c r="V105" s="44"/>
      <c r="W105" s="44"/>
      <c r="X105" s="44"/>
    </row>
    <row r="106" ht="15" customHeight="1" spans="1:24" x14ac:dyDescent="0.25">
      <c r="A106" s="40"/>
      <c r="B106" s="46"/>
      <c r="C106" s="42"/>
      <c r="D106" s="43"/>
      <c r="E106" s="10"/>
      <c r="F106" s="44"/>
      <c r="G106" s="45"/>
      <c r="H106" s="46" t="str">
        <f>IFERROR(VLOOKUP(E106,배송지!A:C,3,0)," ")</f>
        <v> </v>
      </c>
      <c r="I106" s="44"/>
      <c r="J106" s="44" t="str">
        <f>IFERROR(VLOOKUP(E106,배송지!A:C,2,0)," ")</f>
        <v> </v>
      </c>
      <c r="K106" s="44"/>
      <c r="L106" s="44" t="str">
        <f t="shared" si="6"/>
        <v>  </v>
      </c>
      <c r="M106" s="43"/>
      <c r="N106" s="44" t="str">
        <f> IFERROR(INDEX('상품정보(1)'!R:R,MATCH(발주서!P106,'상품정보(1)'!F:F,0))," ")</f>
        <v> </v>
      </c>
      <c r="O106" s="43"/>
      <c r="P106" s="44" t="str">
        <f>IFERROR(INDEX('상품정보(1)'!F:F,MATCH(발주서!O106,'상품정보(1)'!E:E,0))," ")</f>
        <v> </v>
      </c>
      <c r="Q106" s="49"/>
      <c r="R106" s="44">
        <f t="shared" si="7"/>
      </c>
      <c r="S106" s="44"/>
      <c r="T106" s="44">
        <f t="shared" si="8"/>
      </c>
      <c r="U106" s="44"/>
      <c r="V106" s="44"/>
      <c r="W106" s="44"/>
      <c r="X106" s="44"/>
    </row>
    <row r="107" ht="15" customHeight="1" spans="1:24" x14ac:dyDescent="0.25">
      <c r="A107" s="40"/>
      <c r="B107" s="46"/>
      <c r="C107" s="42"/>
      <c r="D107" s="43"/>
      <c r="E107" s="10"/>
      <c r="F107" s="44"/>
      <c r="G107" s="45"/>
      <c r="H107" s="46" t="str">
        <f>IFERROR(VLOOKUP(E107,배송지!A:C,3,0)," ")</f>
        <v> </v>
      </c>
      <c r="I107" s="44"/>
      <c r="J107" s="44" t="str">
        <f>IFERROR(VLOOKUP(E107,배송지!A:C,2,0)," ")</f>
        <v> </v>
      </c>
      <c r="K107" s="44"/>
      <c r="L107" s="44" t="str">
        <f t="shared" si="6"/>
        <v>  </v>
      </c>
      <c r="M107" s="43"/>
      <c r="N107" s="44" t="str">
        <f> IFERROR(INDEX('상품정보(1)'!R:R,MATCH(발주서!P107,'상품정보(1)'!F:F,0))," ")</f>
        <v> </v>
      </c>
      <c r="O107" s="43"/>
      <c r="P107" s="44" t="str">
        <f>IFERROR(INDEX('상품정보(1)'!F:F,MATCH(발주서!O107,'상품정보(1)'!E:E,0))," ")</f>
        <v> </v>
      </c>
      <c r="Q107" s="49"/>
      <c r="R107" s="44">
        <f t="shared" si="7"/>
      </c>
      <c r="S107" s="44"/>
      <c r="T107" s="44">
        <f t="shared" si="8"/>
      </c>
      <c r="U107" s="44"/>
      <c r="V107" s="44"/>
      <c r="W107" s="44"/>
      <c r="X107" s="44"/>
    </row>
    <row r="108" ht="15" customHeight="1" spans="1:24" x14ac:dyDescent="0.25">
      <c r="A108" s="40"/>
      <c r="B108" s="46"/>
      <c r="C108" s="42"/>
      <c r="D108" s="43"/>
      <c r="E108" s="10"/>
      <c r="F108" s="44"/>
      <c r="G108" s="45"/>
      <c r="H108" s="46" t="str">
        <f>IFERROR(VLOOKUP(E108,배송지!A:C,3,0)," ")</f>
        <v> </v>
      </c>
      <c r="I108" s="44"/>
      <c r="J108" s="44" t="str">
        <f>IFERROR(VLOOKUP(E108,배송지!A:C,2,0)," ")</f>
        <v> </v>
      </c>
      <c r="K108" s="44"/>
      <c r="L108" s="44" t="str">
        <f t="shared" si="6"/>
        <v>  </v>
      </c>
      <c r="M108" s="43"/>
      <c r="N108" s="44" t="str">
        <f> IFERROR(INDEX('상품정보(1)'!R:R,MATCH(발주서!P108,'상품정보(1)'!F:F,0))," ")</f>
        <v> </v>
      </c>
      <c r="O108" s="43"/>
      <c r="P108" s="44" t="str">
        <f>IFERROR(INDEX('상품정보(1)'!F:F,MATCH(발주서!O108,'상품정보(1)'!E:E,0))," ")</f>
        <v> </v>
      </c>
      <c r="Q108" s="49"/>
      <c r="R108" s="44">
        <f t="shared" si="7"/>
      </c>
      <c r="S108" s="44"/>
      <c r="T108" s="44">
        <f t="shared" si="8"/>
      </c>
      <c r="U108" s="44"/>
      <c r="V108" s="44"/>
      <c r="W108" s="44"/>
      <c r="X108" s="44"/>
    </row>
    <row r="109" ht="15" customHeight="1" spans="1:24" x14ac:dyDescent="0.25">
      <c r="A109" s="40"/>
      <c r="B109" s="46"/>
      <c r="C109" s="42"/>
      <c r="D109" s="43"/>
      <c r="E109" s="10"/>
      <c r="F109" s="44"/>
      <c r="G109" s="45"/>
      <c r="H109" s="46" t="str">
        <f>IFERROR(VLOOKUP(E109,배송지!A:C,3,0)," ")</f>
        <v> </v>
      </c>
      <c r="I109" s="44"/>
      <c r="J109" s="44" t="str">
        <f>IFERROR(VLOOKUP(E109,배송지!A:C,2,0)," ")</f>
        <v> </v>
      </c>
      <c r="K109" s="44"/>
      <c r="L109" s="44" t="str">
        <f t="shared" si="6"/>
        <v>  </v>
      </c>
      <c r="M109" s="43"/>
      <c r="N109" s="44" t="str">
        <f> IFERROR(INDEX('상품정보(1)'!R:R,MATCH(발주서!P109,'상품정보(1)'!F:F,0))," ")</f>
        <v> </v>
      </c>
      <c r="O109" s="43"/>
      <c r="P109" s="44" t="str">
        <f>IFERROR(INDEX('상품정보(1)'!F:F,MATCH(발주서!O109,'상품정보(1)'!E:E,0))," ")</f>
        <v> </v>
      </c>
      <c r="Q109" s="49"/>
      <c r="R109" s="44">
        <f t="shared" si="7"/>
      </c>
      <c r="S109" s="44"/>
      <c r="T109" s="44">
        <f t="shared" si="8"/>
      </c>
      <c r="U109" s="44"/>
      <c r="V109" s="44"/>
      <c r="W109" s="44"/>
      <c r="X109" s="44"/>
    </row>
    <row r="110" ht="15" customHeight="1" spans="1:24" x14ac:dyDescent="0.25">
      <c r="A110" s="40"/>
      <c r="B110" s="46"/>
      <c r="C110" s="42"/>
      <c r="D110" s="43"/>
      <c r="E110" s="10"/>
      <c r="F110" s="44"/>
      <c r="G110" s="45"/>
      <c r="H110" s="46" t="str">
        <f>IFERROR(VLOOKUP(E110,배송지!A:C,3,0)," ")</f>
        <v> </v>
      </c>
      <c r="I110" s="44"/>
      <c r="J110" s="44" t="str">
        <f>IFERROR(VLOOKUP(E110,배송지!A:C,2,0)," ")</f>
        <v> </v>
      </c>
      <c r="K110" s="44"/>
      <c r="L110" s="44" t="str">
        <f t="shared" si="6"/>
        <v>  </v>
      </c>
      <c r="M110" s="43"/>
      <c r="N110" s="44" t="str">
        <f> IFERROR(INDEX('상품정보(1)'!R:R,MATCH(발주서!P110,'상품정보(1)'!F:F,0))," ")</f>
        <v> </v>
      </c>
      <c r="O110" s="43"/>
      <c r="P110" s="44" t="str">
        <f>IFERROR(INDEX('상품정보(1)'!F:F,MATCH(발주서!O110,'상품정보(1)'!E:E,0))," ")</f>
        <v> </v>
      </c>
      <c r="Q110" s="49"/>
      <c r="R110" s="44">
        <f t="shared" si="7"/>
      </c>
      <c r="S110" s="44"/>
      <c r="T110" s="44">
        <f t="shared" si="8"/>
      </c>
      <c r="U110" s="44"/>
      <c r="V110" s="44"/>
      <c r="W110" s="44"/>
      <c r="X110" s="44"/>
    </row>
    <row r="111" ht="15" customHeight="1" spans="1:24" x14ac:dyDescent="0.25">
      <c r="A111" s="40"/>
      <c r="B111" s="46"/>
      <c r="C111" s="42"/>
      <c r="D111" s="43"/>
      <c r="E111" s="10"/>
      <c r="F111" s="44"/>
      <c r="G111" s="45"/>
      <c r="H111" s="46" t="str">
        <f>IFERROR(VLOOKUP(E111,배송지!A:C,3,0)," ")</f>
        <v> </v>
      </c>
      <c r="I111" s="44"/>
      <c r="J111" s="44" t="str">
        <f>IFERROR(VLOOKUP(E111,배송지!A:C,2,0)," ")</f>
        <v> </v>
      </c>
      <c r="K111" s="44"/>
      <c r="L111" s="44" t="str">
        <f t="shared" si="6"/>
        <v>  </v>
      </c>
      <c r="M111" s="43"/>
      <c r="N111" s="44" t="str">
        <f> IFERROR(INDEX('상품정보(1)'!R:R,MATCH(발주서!P111,'상품정보(1)'!F:F,0))," ")</f>
        <v> </v>
      </c>
      <c r="O111" s="43"/>
      <c r="P111" s="44" t="str">
        <f>IFERROR(INDEX('상품정보(1)'!F:F,MATCH(발주서!O111,'상품정보(1)'!E:E,0))," ")</f>
        <v> </v>
      </c>
      <c r="Q111" s="49"/>
      <c r="R111" s="44">
        <f t="shared" si="7"/>
      </c>
      <c r="S111" s="44"/>
      <c r="T111" s="44">
        <f t="shared" si="8"/>
      </c>
      <c r="U111" s="44"/>
      <c r="V111" s="44"/>
      <c r="W111" s="44"/>
      <c r="X111" s="44"/>
    </row>
    <row r="112" ht="15" customHeight="1" spans="1:24" x14ac:dyDescent="0.25">
      <c r="A112" s="40"/>
      <c r="B112" s="46"/>
      <c r="C112" s="42"/>
      <c r="D112" s="43"/>
      <c r="E112" s="10"/>
      <c r="F112" s="44"/>
      <c r="G112" s="45"/>
      <c r="H112" s="46" t="str">
        <f>IFERROR(VLOOKUP(E112,배송지!A:C,3,0)," ")</f>
        <v> </v>
      </c>
      <c r="I112" s="44"/>
      <c r="J112" s="44" t="str">
        <f>IFERROR(VLOOKUP(E112,배송지!A:C,2,0)," ")</f>
        <v> </v>
      </c>
      <c r="K112" s="44"/>
      <c r="L112" s="44" t="str">
        <f t="shared" si="6"/>
        <v>  </v>
      </c>
      <c r="M112" s="43"/>
      <c r="N112" s="44" t="str">
        <f> IFERROR(INDEX('상품정보(1)'!R:R,MATCH(발주서!P112,'상품정보(1)'!F:F,0))," ")</f>
        <v> </v>
      </c>
      <c r="O112" s="43"/>
      <c r="P112" s="44" t="str">
        <f>IFERROR(INDEX('상품정보(1)'!F:F,MATCH(발주서!O112,'상품정보(1)'!E:E,0))," ")</f>
        <v> </v>
      </c>
      <c r="Q112" s="49"/>
      <c r="R112" s="44">
        <f t="shared" si="7"/>
      </c>
      <c r="S112" s="44"/>
      <c r="T112" s="44">
        <f t="shared" si="8"/>
      </c>
      <c r="U112" s="44"/>
      <c r="V112" s="44"/>
      <c r="W112" s="44"/>
      <c r="X112" s="44"/>
    </row>
    <row r="113" ht="15" customHeight="1" spans="1:24" x14ac:dyDescent="0.25">
      <c r="A113" s="40"/>
      <c r="B113" s="46"/>
      <c r="C113" s="42"/>
      <c r="D113" s="43"/>
      <c r="E113" s="10"/>
      <c r="F113" s="44"/>
      <c r="G113" s="45"/>
      <c r="H113" s="46" t="str">
        <f>IFERROR(VLOOKUP(E113,배송지!A:C,3,0)," ")</f>
        <v> </v>
      </c>
      <c r="I113" s="44"/>
      <c r="J113" s="44" t="str">
        <f>IFERROR(VLOOKUP(E113,배송지!A:C,2,0)," ")</f>
        <v> </v>
      </c>
      <c r="K113" s="44"/>
      <c r="L113" s="44" t="str">
        <f t="shared" si="6"/>
        <v>  </v>
      </c>
      <c r="M113" s="43"/>
      <c r="N113" s="44" t="str">
        <f> IFERROR(INDEX('상품정보(1)'!R:R,MATCH(발주서!P113,'상품정보(1)'!F:F,0))," ")</f>
        <v> </v>
      </c>
      <c r="O113" s="43"/>
      <c r="P113" s="44" t="str">
        <f>IFERROR(INDEX('상품정보(1)'!F:F,MATCH(발주서!O113,'상품정보(1)'!E:E,0))," ")</f>
        <v> </v>
      </c>
      <c r="Q113" s="49"/>
      <c r="R113" s="44">
        <f t="shared" si="7"/>
      </c>
      <c r="S113" s="44"/>
      <c r="T113" s="44">
        <f t="shared" si="8"/>
      </c>
      <c r="U113" s="44"/>
      <c r="V113" s="44"/>
      <c r="W113" s="44"/>
      <c r="X113" s="44"/>
    </row>
    <row r="114" ht="15" customHeight="1" spans="1:24" x14ac:dyDescent="0.25">
      <c r="A114" s="40"/>
      <c r="B114" s="46"/>
      <c r="C114" s="42"/>
      <c r="D114" s="43"/>
      <c r="E114" s="10"/>
      <c r="F114" s="44"/>
      <c r="G114" s="45"/>
      <c r="H114" s="46" t="str">
        <f>IFERROR(VLOOKUP(E114,배송지!A:C,3,0)," ")</f>
        <v> </v>
      </c>
      <c r="I114" s="44"/>
      <c r="J114" s="44" t="str">
        <f>IFERROR(VLOOKUP(E114,배송지!A:C,2,0)," ")</f>
        <v> </v>
      </c>
      <c r="K114" s="44"/>
      <c r="L114" s="44" t="str">
        <f t="shared" si="6"/>
        <v>  </v>
      </c>
      <c r="M114" s="43"/>
      <c r="N114" s="44" t="str">
        <f> IFERROR(INDEX('상품정보(1)'!R:R,MATCH(발주서!P114,'상품정보(1)'!F:F,0))," ")</f>
        <v> </v>
      </c>
      <c r="O114" s="43"/>
      <c r="P114" s="44" t="str">
        <f>IFERROR(INDEX('상품정보(1)'!F:F,MATCH(발주서!O114,'상품정보(1)'!E:E,0))," ")</f>
        <v> </v>
      </c>
      <c r="Q114" s="49"/>
      <c r="R114" s="44">
        <f t="shared" si="7"/>
      </c>
      <c r="S114" s="44"/>
      <c r="T114" s="44">
        <f t="shared" si="8"/>
      </c>
      <c r="U114" s="44"/>
      <c r="V114" s="44"/>
      <c r="W114" s="44"/>
      <c r="X114" s="44"/>
    </row>
    <row r="115" ht="15" customHeight="1" spans="1:24" x14ac:dyDescent="0.25">
      <c r="A115" s="40"/>
      <c r="B115" s="46"/>
      <c r="C115" s="42"/>
      <c r="D115" s="43"/>
      <c r="E115" s="10"/>
      <c r="F115" s="44"/>
      <c r="G115" s="45"/>
      <c r="H115" s="46" t="str">
        <f>IFERROR(VLOOKUP(E115,배송지!A:C,3,0)," ")</f>
        <v> </v>
      </c>
      <c r="I115" s="44"/>
      <c r="J115" s="44" t="str">
        <f>IFERROR(VLOOKUP(E115,배송지!A:C,2,0)," ")</f>
        <v> </v>
      </c>
      <c r="K115" s="44"/>
      <c r="L115" s="44" t="str">
        <f t="shared" si="6"/>
        <v>  </v>
      </c>
      <c r="M115" s="43"/>
      <c r="N115" s="44" t="str">
        <f> IFERROR(INDEX('상품정보(1)'!R:R,MATCH(발주서!P115,'상품정보(1)'!F:F,0))," ")</f>
        <v> </v>
      </c>
      <c r="O115" s="43"/>
      <c r="P115" s="44" t="str">
        <f>IFERROR(INDEX('상품정보(1)'!F:F,MATCH(발주서!O115,'상품정보(1)'!E:E,0))," ")</f>
        <v> </v>
      </c>
      <c r="Q115" s="49"/>
      <c r="R115" s="44">
        <f t="shared" si="7"/>
      </c>
      <c r="S115" s="44"/>
      <c r="T115" s="44">
        <f t="shared" si="8"/>
      </c>
      <c r="U115" s="44"/>
      <c r="V115" s="44"/>
      <c r="W115" s="44"/>
      <c r="X115" s="44"/>
    </row>
    <row r="116" ht="15" customHeight="1" spans="1:24" x14ac:dyDescent="0.25">
      <c r="A116" s="40"/>
      <c r="B116" s="46"/>
      <c r="C116" s="42"/>
      <c r="D116" s="43"/>
      <c r="E116" s="10"/>
      <c r="F116" s="44"/>
      <c r="G116" s="45"/>
      <c r="H116" s="46" t="str">
        <f>IFERROR(VLOOKUP(E116,배송지!A:C,3,0)," ")</f>
        <v> </v>
      </c>
      <c r="I116" s="44"/>
      <c r="J116" s="44" t="str">
        <f>IFERROR(VLOOKUP(E116,배송지!A:C,2,0)," ")</f>
        <v> </v>
      </c>
      <c r="K116" s="44"/>
      <c r="L116" s="44" t="str">
        <f t="shared" si="6"/>
        <v>  </v>
      </c>
      <c r="M116" s="43"/>
      <c r="N116" s="44" t="str">
        <f> IFERROR(INDEX('상품정보(1)'!R:R,MATCH(발주서!P116,'상품정보(1)'!F:F,0))," ")</f>
        <v> </v>
      </c>
      <c r="O116" s="43"/>
      <c r="P116" s="44" t="str">
        <f>IFERROR(INDEX('상품정보(1)'!F:F,MATCH(발주서!O116,'상품정보(1)'!E:E,0))," ")</f>
        <v> </v>
      </c>
      <c r="Q116" s="49"/>
      <c r="R116" s="44">
        <f t="shared" si="7"/>
      </c>
      <c r="S116" s="44"/>
      <c r="T116" s="44">
        <f t="shared" si="8"/>
      </c>
      <c r="U116" s="44"/>
      <c r="V116" s="44"/>
      <c r="W116" s="44"/>
      <c r="X116" s="44"/>
    </row>
    <row r="117" ht="15" customHeight="1" spans="1:24" x14ac:dyDescent="0.25">
      <c r="A117" s="40"/>
      <c r="B117" s="46"/>
      <c r="C117" s="42"/>
      <c r="D117" s="43"/>
      <c r="E117" s="10"/>
      <c r="F117" s="44"/>
      <c r="G117" s="45"/>
      <c r="H117" s="46" t="str">
        <f>IFERROR(VLOOKUP(E117,배송지!A:C,3,0)," ")</f>
        <v> </v>
      </c>
      <c r="I117" s="44"/>
      <c r="J117" s="44" t="str">
        <f>IFERROR(VLOOKUP(E117,배송지!A:C,2,0)," ")</f>
        <v> </v>
      </c>
      <c r="K117" s="44"/>
      <c r="L117" s="44" t="str">
        <f t="shared" si="6"/>
        <v>  </v>
      </c>
      <c r="M117" s="43"/>
      <c r="N117" s="44" t="str">
        <f> IFERROR(INDEX('상품정보(1)'!R:R,MATCH(발주서!P117,'상품정보(1)'!F:F,0))," ")</f>
        <v> </v>
      </c>
      <c r="O117" s="43"/>
      <c r="P117" s="44" t="str">
        <f>IFERROR(INDEX('상품정보(1)'!F:F,MATCH(발주서!O117,'상품정보(1)'!E:E,0))," ")</f>
        <v> </v>
      </c>
      <c r="Q117" s="49"/>
      <c r="R117" s="44">
        <f t="shared" si="7"/>
      </c>
      <c r="S117" s="44"/>
      <c r="T117" s="44">
        <f t="shared" si="8"/>
      </c>
      <c r="U117" s="44"/>
      <c r="V117" s="44"/>
      <c r="W117" s="44"/>
      <c r="X117" s="44"/>
    </row>
    <row r="118" ht="15" customHeight="1" spans="1:24" x14ac:dyDescent="0.25">
      <c r="A118" s="40"/>
      <c r="B118" s="46"/>
      <c r="C118" s="42"/>
      <c r="D118" s="43"/>
      <c r="E118" s="10"/>
      <c r="F118" s="44"/>
      <c r="G118" s="45"/>
      <c r="H118" s="46" t="str">
        <f>IFERROR(VLOOKUP(E118,배송지!A:C,3,0)," ")</f>
        <v> </v>
      </c>
      <c r="I118" s="44"/>
      <c r="J118" s="44" t="str">
        <f>IFERROR(VLOOKUP(E118,배송지!A:C,2,0)," ")</f>
        <v> </v>
      </c>
      <c r="K118" s="44"/>
      <c r="L118" s="44" t="str">
        <f t="shared" si="6"/>
        <v>  </v>
      </c>
      <c r="M118" s="43"/>
      <c r="N118" s="44" t="str">
        <f> IFERROR(INDEX('상품정보(1)'!R:R,MATCH(발주서!P118,'상품정보(1)'!F:F,0))," ")</f>
        <v> </v>
      </c>
      <c r="O118" s="43"/>
      <c r="P118" s="44" t="str">
        <f>IFERROR(INDEX('상품정보(1)'!F:F,MATCH(발주서!O118,'상품정보(1)'!E:E,0))," ")</f>
        <v> </v>
      </c>
      <c r="Q118" s="49"/>
      <c r="R118" s="44">
        <f t="shared" si="7"/>
      </c>
      <c r="S118" s="44"/>
      <c r="T118" s="44">
        <f t="shared" si="8"/>
      </c>
      <c r="U118" s="44"/>
      <c r="V118" s="44"/>
      <c r="W118" s="44"/>
      <c r="X118" s="44"/>
    </row>
    <row r="119" ht="15" customHeight="1" spans="1:24" x14ac:dyDescent="0.25">
      <c r="A119" s="40"/>
      <c r="B119" s="46"/>
      <c r="C119" s="42"/>
      <c r="D119" s="43"/>
      <c r="E119" s="10"/>
      <c r="F119" s="44"/>
      <c r="G119" s="45"/>
      <c r="H119" s="46" t="str">
        <f>IFERROR(VLOOKUP(E119,배송지!A:C,3,0)," ")</f>
        <v> </v>
      </c>
      <c r="I119" s="44"/>
      <c r="J119" s="44" t="str">
        <f>IFERROR(VLOOKUP(E119,배송지!A:C,2,0)," ")</f>
        <v> </v>
      </c>
      <c r="K119" s="44"/>
      <c r="L119" s="44" t="str">
        <f t="shared" si="6"/>
        <v>  </v>
      </c>
      <c r="M119" s="43"/>
      <c r="N119" s="44" t="str">
        <f> IFERROR(INDEX('상품정보(1)'!R:R,MATCH(발주서!P119,'상품정보(1)'!F:F,0))," ")</f>
        <v> </v>
      </c>
      <c r="O119" s="43"/>
      <c r="P119" s="44" t="str">
        <f>IFERROR(INDEX('상품정보(1)'!F:F,MATCH(발주서!O119,'상품정보(1)'!E:E,0))," ")</f>
        <v> </v>
      </c>
      <c r="Q119" s="49"/>
      <c r="R119" s="44">
        <f t="shared" si="7"/>
      </c>
      <c r="S119" s="44"/>
      <c r="T119" s="44">
        <f t="shared" si="8"/>
      </c>
      <c r="U119" s="44"/>
      <c r="V119" s="44"/>
      <c r="W119" s="44"/>
      <c r="X119" s="44"/>
    </row>
    <row r="120" ht="15" customHeight="1" spans="1:24" x14ac:dyDescent="0.25">
      <c r="A120" s="40"/>
      <c r="B120" s="46"/>
      <c r="C120" s="42"/>
      <c r="D120" s="43"/>
      <c r="E120" s="10"/>
      <c r="F120" s="44"/>
      <c r="G120" s="45"/>
      <c r="H120" s="46" t="str">
        <f>IFERROR(VLOOKUP(E120,배송지!A:C,3,0)," ")</f>
        <v> </v>
      </c>
      <c r="I120" s="44"/>
      <c r="J120" s="44" t="str">
        <f>IFERROR(VLOOKUP(E120,배송지!A:C,2,0)," ")</f>
        <v> </v>
      </c>
      <c r="K120" s="44"/>
      <c r="L120" s="44" t="str">
        <f t="shared" si="6"/>
        <v>  </v>
      </c>
      <c r="M120" s="43"/>
      <c r="N120" s="44" t="str">
        <f> IFERROR(INDEX('상품정보(1)'!R:R,MATCH(발주서!P120,'상품정보(1)'!F:F,0))," ")</f>
        <v> </v>
      </c>
      <c r="O120" s="43"/>
      <c r="P120" s="44" t="str">
        <f>IFERROR(INDEX('상품정보(1)'!F:F,MATCH(발주서!O120,'상품정보(1)'!E:E,0))," ")</f>
        <v> </v>
      </c>
      <c r="Q120" s="49"/>
      <c r="R120" s="44">
        <f t="shared" si="7"/>
      </c>
      <c r="S120" s="44"/>
      <c r="T120" s="44">
        <f t="shared" si="8"/>
      </c>
      <c r="U120" s="44"/>
      <c r="V120" s="44"/>
      <c r="W120" s="44"/>
      <c r="X120" s="44"/>
    </row>
    <row r="121" ht="15" customHeight="1" spans="1:24" x14ac:dyDescent="0.25">
      <c r="A121" s="40"/>
      <c r="B121" s="46"/>
      <c r="C121" s="42"/>
      <c r="D121" s="43"/>
      <c r="E121" s="10"/>
      <c r="F121" s="44"/>
      <c r="G121" s="45"/>
      <c r="H121" s="46" t="str">
        <f>IFERROR(VLOOKUP(E121,배송지!A:C,3,0)," ")</f>
        <v> </v>
      </c>
      <c r="I121" s="44"/>
      <c r="J121" s="44" t="str">
        <f>IFERROR(VLOOKUP(E121,배송지!A:C,2,0)," ")</f>
        <v> </v>
      </c>
      <c r="K121" s="44"/>
      <c r="L121" s="44" t="str">
        <f t="shared" si="6"/>
        <v>  </v>
      </c>
      <c r="M121" s="43"/>
      <c r="N121" s="44" t="str">
        <f> IFERROR(INDEX('상품정보(1)'!R:R,MATCH(발주서!P121,'상품정보(1)'!F:F,0))," ")</f>
        <v> </v>
      </c>
      <c r="O121" s="43"/>
      <c r="P121" s="44" t="str">
        <f>IFERROR(INDEX('상품정보(1)'!F:F,MATCH(발주서!O121,'상품정보(1)'!E:E,0))," ")</f>
        <v> </v>
      </c>
      <c r="Q121" s="49"/>
      <c r="R121" s="44">
        <f t="shared" si="7"/>
      </c>
      <c r="S121" s="44"/>
      <c r="T121" s="44">
        <f t="shared" si="8"/>
      </c>
      <c r="U121" s="44"/>
      <c r="V121" s="44"/>
      <c r="W121" s="44"/>
      <c r="X121" s="44"/>
    </row>
    <row r="122" ht="15" customHeight="1" spans="1:24" x14ac:dyDescent="0.25">
      <c r="A122" s="40"/>
      <c r="B122" s="46"/>
      <c r="C122" s="42"/>
      <c r="D122" s="43"/>
      <c r="E122" s="10"/>
      <c r="F122" s="44"/>
      <c r="G122" s="45"/>
      <c r="H122" s="46" t="str">
        <f>IFERROR(VLOOKUP(E122,배송지!A:C,3,0)," ")</f>
        <v> </v>
      </c>
      <c r="I122" s="44"/>
      <c r="J122" s="44" t="str">
        <f>IFERROR(VLOOKUP(E122,배송지!A:C,2,0)," ")</f>
        <v> </v>
      </c>
      <c r="K122" s="44"/>
      <c r="L122" s="44" t="str">
        <f t="shared" si="6"/>
        <v>  </v>
      </c>
      <c r="M122" s="43"/>
      <c r="N122" s="44" t="str">
        <f> IFERROR(INDEX('상품정보(1)'!R:R,MATCH(발주서!P122,'상품정보(1)'!F:F,0))," ")</f>
        <v> </v>
      </c>
      <c r="O122" s="43"/>
      <c r="P122" s="44" t="str">
        <f>IFERROR(INDEX('상품정보(1)'!F:F,MATCH(발주서!O122,'상품정보(1)'!E:E,0))," ")</f>
        <v> </v>
      </c>
      <c r="Q122" s="49"/>
      <c r="R122" s="44">
        <f t="shared" si="7"/>
      </c>
      <c r="S122" s="44"/>
      <c r="T122" s="44">
        <f t="shared" si="8"/>
      </c>
      <c r="U122" s="44"/>
      <c r="V122" s="44"/>
      <c r="W122" s="44"/>
      <c r="X122" s="44"/>
    </row>
    <row r="123" ht="15" customHeight="1" spans="1:24" x14ac:dyDescent="0.25">
      <c r="A123" s="40"/>
      <c r="B123" s="46"/>
      <c r="C123" s="42"/>
      <c r="D123" s="43"/>
      <c r="E123" s="10"/>
      <c r="F123" s="44"/>
      <c r="G123" s="45"/>
      <c r="H123" s="46" t="str">
        <f>IFERROR(VLOOKUP(E123,배송지!A:C,3,0)," ")</f>
        <v> </v>
      </c>
      <c r="I123" s="44"/>
      <c r="J123" s="44" t="str">
        <f>IFERROR(VLOOKUP(E123,배송지!A:C,2,0)," ")</f>
        <v> </v>
      </c>
      <c r="K123" s="44"/>
      <c r="L123" s="44" t="str">
        <f t="shared" si="6"/>
        <v>  </v>
      </c>
      <c r="M123" s="43"/>
      <c r="N123" s="44" t="str">
        <f> IFERROR(INDEX('상품정보(1)'!R:R,MATCH(발주서!P123,'상품정보(1)'!F:F,0))," ")</f>
        <v> </v>
      </c>
      <c r="O123" s="43"/>
      <c r="P123" s="44" t="str">
        <f>IFERROR(INDEX('상품정보(1)'!F:F,MATCH(발주서!O123,'상품정보(1)'!E:E,0))," ")</f>
        <v> </v>
      </c>
      <c r="Q123" s="49"/>
      <c r="R123" s="44">
        <f t="shared" si="7"/>
      </c>
      <c r="S123" s="44"/>
      <c r="T123" s="44">
        <f t="shared" si="8"/>
      </c>
      <c r="U123" s="44"/>
      <c r="V123" s="44"/>
      <c r="W123" s="44"/>
      <c r="X123" s="44"/>
    </row>
    <row r="124" ht="15" customHeight="1" spans="1:24" x14ac:dyDescent="0.25">
      <c r="A124" s="40"/>
      <c r="B124" s="46"/>
      <c r="C124" s="42"/>
      <c r="D124" s="43"/>
      <c r="E124" s="10"/>
      <c r="F124" s="44"/>
      <c r="G124" s="45"/>
      <c r="H124" s="46" t="str">
        <f>IFERROR(VLOOKUP(E124,배송지!A:C,3,0)," ")</f>
        <v> </v>
      </c>
      <c r="I124" s="44"/>
      <c r="J124" s="44" t="str">
        <f>IFERROR(VLOOKUP(E124,배송지!A:C,2,0)," ")</f>
        <v> </v>
      </c>
      <c r="K124" s="44"/>
      <c r="L124" s="44" t="str">
        <f t="shared" si="6"/>
        <v>  </v>
      </c>
      <c r="M124" s="43"/>
      <c r="N124" s="44" t="str">
        <f> IFERROR(INDEX('상품정보(1)'!R:R,MATCH(발주서!P124,'상품정보(1)'!F:F,0))," ")</f>
        <v> </v>
      </c>
      <c r="O124" s="43"/>
      <c r="P124" s="44" t="str">
        <f>IFERROR(INDEX('상품정보(1)'!F:F,MATCH(발주서!O124,'상품정보(1)'!E:E,0))," ")</f>
        <v> </v>
      </c>
      <c r="Q124" s="49"/>
      <c r="R124" s="44">
        <f t="shared" si="7"/>
      </c>
      <c r="S124" s="44"/>
      <c r="T124" s="44">
        <f t="shared" si="8"/>
      </c>
      <c r="U124" s="44"/>
      <c r="V124" s="44"/>
      <c r="W124" s="44"/>
      <c r="X124" s="44"/>
    </row>
    <row r="125" ht="15" customHeight="1" spans="1:24" x14ac:dyDescent="0.25">
      <c r="A125" s="40"/>
      <c r="B125" s="46"/>
      <c r="C125" s="42"/>
      <c r="D125" s="43"/>
      <c r="E125" s="10"/>
      <c r="F125" s="44"/>
      <c r="G125" s="45"/>
      <c r="H125" s="46" t="str">
        <f>IFERROR(VLOOKUP(E125,배송지!A:C,3,0)," ")</f>
        <v> </v>
      </c>
      <c r="I125" s="44"/>
      <c r="J125" s="44" t="str">
        <f>IFERROR(VLOOKUP(E125,배송지!A:C,2,0)," ")</f>
        <v> </v>
      </c>
      <c r="K125" s="44"/>
      <c r="L125" s="44" t="str">
        <f t="shared" si="6"/>
        <v>  </v>
      </c>
      <c r="M125" s="43"/>
      <c r="N125" s="44" t="str">
        <f> IFERROR(INDEX('상품정보(1)'!R:R,MATCH(발주서!P125,'상품정보(1)'!F:F,0))," ")</f>
        <v> </v>
      </c>
      <c r="O125" s="43"/>
      <c r="P125" s="44" t="str">
        <f>IFERROR(INDEX('상품정보(1)'!F:F,MATCH(발주서!O125,'상품정보(1)'!E:E,0))," ")</f>
        <v> </v>
      </c>
      <c r="Q125" s="49"/>
      <c r="R125" s="44">
        <f t="shared" si="7"/>
      </c>
      <c r="S125" s="44"/>
      <c r="T125" s="44">
        <f t="shared" si="8"/>
      </c>
      <c r="U125" s="44"/>
      <c r="V125" s="44"/>
      <c r="W125" s="44"/>
      <c r="X125" s="44"/>
    </row>
    <row r="126" ht="15" customHeight="1" spans="1:24" x14ac:dyDescent="0.25">
      <c r="A126" s="40"/>
      <c r="B126" s="46"/>
      <c r="C126" s="42"/>
      <c r="D126" s="43"/>
      <c r="E126" s="10"/>
      <c r="F126" s="44"/>
      <c r="G126" s="45"/>
      <c r="H126" s="46" t="str">
        <f>IFERROR(VLOOKUP(E126,배송지!A:C,3,0)," ")</f>
        <v> </v>
      </c>
      <c r="I126" s="44"/>
      <c r="J126" s="44" t="str">
        <f>IFERROR(VLOOKUP(E126,배송지!A:C,2,0)," ")</f>
        <v> </v>
      </c>
      <c r="K126" s="44"/>
      <c r="L126" s="44" t="str">
        <f t="shared" si="6"/>
        <v>  </v>
      </c>
      <c r="M126" s="43"/>
      <c r="N126" s="44" t="str">
        <f> IFERROR(INDEX('상품정보(1)'!R:R,MATCH(발주서!P126,'상품정보(1)'!F:F,0))," ")</f>
        <v> </v>
      </c>
      <c r="O126" s="43"/>
      <c r="P126" s="44" t="str">
        <f>IFERROR(INDEX('상품정보(1)'!F:F,MATCH(발주서!O126,'상품정보(1)'!E:E,0))," ")</f>
        <v> </v>
      </c>
      <c r="Q126" s="49"/>
      <c r="R126" s="44">
        <f t="shared" si="7"/>
      </c>
      <c r="S126" s="44"/>
      <c r="T126" s="44">
        <f t="shared" si="8"/>
      </c>
      <c r="U126" s="44"/>
      <c r="V126" s="44"/>
      <c r="W126" s="44"/>
      <c r="X126" s="44"/>
    </row>
    <row r="127" ht="15" customHeight="1" spans="1:24" x14ac:dyDescent="0.25">
      <c r="A127" s="40"/>
      <c r="B127" s="46"/>
      <c r="C127" s="42"/>
      <c r="D127" s="43"/>
      <c r="E127" s="10"/>
      <c r="F127" s="44"/>
      <c r="G127" s="45"/>
      <c r="H127" s="46" t="str">
        <f>IFERROR(VLOOKUP(E127,배송지!A:C,3,0)," ")</f>
        <v> </v>
      </c>
      <c r="I127" s="44"/>
      <c r="J127" s="44" t="str">
        <f>IFERROR(VLOOKUP(E127,배송지!A:C,2,0)," ")</f>
        <v> </v>
      </c>
      <c r="K127" s="44"/>
      <c r="L127" s="44" t="str">
        <f t="shared" si="6"/>
        <v>  </v>
      </c>
      <c r="M127" s="43"/>
      <c r="N127" s="44" t="str">
        <f> IFERROR(INDEX('상품정보(1)'!R:R,MATCH(발주서!P127,'상품정보(1)'!F:F,0))," ")</f>
        <v> </v>
      </c>
      <c r="O127" s="43"/>
      <c r="P127" s="44" t="str">
        <f>IFERROR(INDEX('상품정보(1)'!F:F,MATCH(발주서!O127,'상품정보(1)'!E:E,0))," ")</f>
        <v> </v>
      </c>
      <c r="Q127" s="49"/>
      <c r="R127" s="44">
        <f t="shared" si="7"/>
      </c>
      <c r="S127" s="44"/>
      <c r="T127" s="44">
        <f t="shared" si="8"/>
      </c>
      <c r="U127" s="44"/>
      <c r="V127" s="44"/>
      <c r="W127" s="44"/>
      <c r="X127" s="44"/>
    </row>
    <row r="128" ht="15" customHeight="1" spans="1:24" x14ac:dyDescent="0.25">
      <c r="A128" s="40"/>
      <c r="B128" s="46"/>
      <c r="C128" s="42"/>
      <c r="D128" s="43"/>
      <c r="E128" s="10"/>
      <c r="F128" s="44"/>
      <c r="G128" s="45"/>
      <c r="H128" s="46" t="str">
        <f>IFERROR(VLOOKUP(E128,배송지!A:C,3,0)," ")</f>
        <v> </v>
      </c>
      <c r="I128" s="44"/>
      <c r="J128" s="44" t="str">
        <f>IFERROR(VLOOKUP(E128,배송지!A:C,2,0)," ")</f>
        <v> </v>
      </c>
      <c r="K128" s="44"/>
      <c r="L128" s="44" t="str">
        <f t="shared" si="6"/>
        <v>  </v>
      </c>
      <c r="M128" s="43"/>
      <c r="N128" s="44" t="str">
        <f> IFERROR(INDEX('상품정보(1)'!R:R,MATCH(발주서!P128,'상품정보(1)'!F:F,0))," ")</f>
        <v> </v>
      </c>
      <c r="O128" s="43"/>
      <c r="P128" s="44" t="str">
        <f>IFERROR(INDEX('상품정보(1)'!F:F,MATCH(발주서!O128,'상품정보(1)'!E:E,0))," ")</f>
        <v> </v>
      </c>
      <c r="Q128" s="49"/>
      <c r="R128" s="44">
        <f t="shared" si="7"/>
      </c>
      <c r="S128" s="44"/>
      <c r="T128" s="44">
        <f t="shared" si="8"/>
      </c>
      <c r="U128" s="44"/>
      <c r="V128" s="44"/>
      <c r="W128" s="44"/>
      <c r="X128" s="44"/>
    </row>
    <row r="129" ht="15" customHeight="1" spans="1:24" x14ac:dyDescent="0.25">
      <c r="A129" s="40"/>
      <c r="B129" s="46"/>
      <c r="C129" s="42"/>
      <c r="D129" s="43"/>
      <c r="E129" s="10"/>
      <c r="F129" s="44"/>
      <c r="G129" s="45"/>
      <c r="H129" s="46" t="str">
        <f>IFERROR(VLOOKUP(E129,배송지!A:C,3,0)," ")</f>
        <v> </v>
      </c>
      <c r="I129" s="44"/>
      <c r="J129" s="44" t="str">
        <f>IFERROR(VLOOKUP(E129,배송지!A:C,2,0)," ")</f>
        <v> </v>
      </c>
      <c r="K129" s="44"/>
      <c r="L129" s="44" t="str">
        <f t="shared" si="6"/>
        <v>  </v>
      </c>
      <c r="M129" s="43"/>
      <c r="N129" s="44" t="str">
        <f> IFERROR(INDEX('상품정보(1)'!R:R,MATCH(발주서!P129,'상품정보(1)'!F:F,0))," ")</f>
        <v> </v>
      </c>
      <c r="O129" s="43"/>
      <c r="P129" s="44" t="str">
        <f>IFERROR(INDEX('상품정보(1)'!F:F,MATCH(발주서!O129,'상품정보(1)'!E:E,0))," ")</f>
        <v> </v>
      </c>
      <c r="Q129" s="49"/>
      <c r="R129" s="44">
        <f t="shared" si="7"/>
      </c>
      <c r="S129" s="44"/>
      <c r="T129" s="44">
        <f t="shared" si="8"/>
      </c>
      <c r="U129" s="44"/>
      <c r="V129" s="44"/>
      <c r="W129" s="44"/>
      <c r="X129" s="44"/>
    </row>
    <row r="130" ht="15" customHeight="1" spans="1:24" x14ac:dyDescent="0.25">
      <c r="A130" s="40"/>
      <c r="B130" s="46"/>
      <c r="C130" s="42"/>
      <c r="D130" s="43"/>
      <c r="E130" s="10"/>
      <c r="F130" s="44"/>
      <c r="G130" s="45"/>
      <c r="H130" s="46" t="str">
        <f>IFERROR(VLOOKUP(E130,배송지!A:C,3,0)," ")</f>
        <v> </v>
      </c>
      <c r="I130" s="44"/>
      <c r="J130" s="44" t="str">
        <f>IFERROR(VLOOKUP(E130,배송지!A:C,2,0)," ")</f>
        <v> </v>
      </c>
      <c r="K130" s="44"/>
      <c r="L130" s="44" t="str">
        <f t="shared" si="6"/>
        <v>  </v>
      </c>
      <c r="M130" s="43"/>
      <c r="N130" s="44" t="str">
        <f> IFERROR(INDEX('상품정보(1)'!R:R,MATCH(발주서!P130,'상품정보(1)'!F:F,0))," ")</f>
        <v> </v>
      </c>
      <c r="O130" s="43"/>
      <c r="P130" s="44" t="str">
        <f>IFERROR(INDEX('상품정보(1)'!F:F,MATCH(발주서!O130,'상품정보(1)'!E:E,0))," ")</f>
        <v> </v>
      </c>
      <c r="Q130" s="49"/>
      <c r="R130" s="44">
        <f t="shared" si="7"/>
      </c>
      <c r="S130" s="44"/>
      <c r="T130" s="44">
        <f t="shared" si="8"/>
      </c>
      <c r="U130" s="44"/>
      <c r="V130" s="44"/>
      <c r="W130" s="44"/>
      <c r="X130" s="44"/>
    </row>
    <row r="131" ht="15" customHeight="1" spans="1:24" x14ac:dyDescent="0.25">
      <c r="A131" s="40"/>
      <c r="B131" s="46"/>
      <c r="C131" s="42"/>
      <c r="D131" s="43"/>
      <c r="E131" s="10"/>
      <c r="F131" s="44"/>
      <c r="G131" s="45"/>
      <c r="H131" s="46" t="str">
        <f>IFERROR(VLOOKUP(E131,배송지!A:C,3,0)," ")</f>
        <v> </v>
      </c>
      <c r="I131" s="44"/>
      <c r="J131" s="44" t="str">
        <f>IFERROR(VLOOKUP(E131,배송지!A:C,2,0)," ")</f>
        <v> </v>
      </c>
      <c r="K131" s="44"/>
      <c r="L131" s="44" t="str">
        <f t="shared" ref="L131:L193" si="9">O131&amp;" "&amp;P131</f>
        <v>  </v>
      </c>
      <c r="M131" s="43"/>
      <c r="N131" s="44" t="str">
        <f> IFERROR(INDEX('상품정보(1)'!R:R,MATCH(발주서!P131,'상품정보(1)'!F:F,0))," ")</f>
        <v> </v>
      </c>
      <c r="O131" s="43"/>
      <c r="P131" s="44" t="str">
        <f>IFERROR(INDEX('상품정보(1)'!F:F,MATCH(발주서!O131,'상품정보(1)'!E:E,0))," ")</f>
        <v> </v>
      </c>
      <c r="Q131" s="49"/>
      <c r="R131" s="44">
        <f t="shared" ref="R131:R193" si="10">LEFT(T131,8)</f>
      </c>
      <c r="S131" s="44"/>
      <c r="T131" s="44">
        <f t="shared" ref="T131:T193" si="11">IF(Q131="","",Q131)</f>
      </c>
      <c r="U131" s="44"/>
      <c r="V131" s="44"/>
      <c r="W131" s="44"/>
      <c r="X131" s="44"/>
    </row>
    <row r="132" ht="15" customHeight="1" spans="1:24" x14ac:dyDescent="0.25">
      <c r="A132" s="40"/>
      <c r="B132" s="46"/>
      <c r="C132" s="42"/>
      <c r="D132" s="43"/>
      <c r="E132" s="10"/>
      <c r="F132" s="44"/>
      <c r="G132" s="45"/>
      <c r="H132" s="46" t="str">
        <f>IFERROR(VLOOKUP(E132,배송지!A:C,3,0)," ")</f>
        <v> </v>
      </c>
      <c r="I132" s="44"/>
      <c r="J132" s="44" t="str">
        <f>IFERROR(VLOOKUP(E132,배송지!A:C,2,0)," ")</f>
        <v> </v>
      </c>
      <c r="K132" s="44"/>
      <c r="L132" s="44" t="str">
        <f t="shared" si="9"/>
        <v>  </v>
      </c>
      <c r="M132" s="43"/>
      <c r="N132" s="44" t="str">
        <f> IFERROR(INDEX('상품정보(1)'!R:R,MATCH(발주서!P132,'상품정보(1)'!F:F,0))," ")</f>
        <v> </v>
      </c>
      <c r="O132" s="43"/>
      <c r="P132" s="44" t="str">
        <f>IFERROR(INDEX('상품정보(1)'!F:F,MATCH(발주서!O132,'상품정보(1)'!E:E,0))," ")</f>
        <v> </v>
      </c>
      <c r="Q132" s="49"/>
      <c r="R132" s="44">
        <f t="shared" si="10"/>
      </c>
      <c r="S132" s="44"/>
      <c r="T132" s="44">
        <f t="shared" si="11"/>
      </c>
      <c r="U132" s="44"/>
      <c r="V132" s="44"/>
      <c r="W132" s="44"/>
      <c r="X132" s="44"/>
    </row>
    <row r="133" ht="15" customHeight="1" spans="1:24" x14ac:dyDescent="0.25">
      <c r="A133" s="40"/>
      <c r="B133" s="46"/>
      <c r="C133" s="42"/>
      <c r="D133" s="43"/>
      <c r="E133" s="10"/>
      <c r="F133" s="44"/>
      <c r="G133" s="45"/>
      <c r="H133" s="46" t="str">
        <f>IFERROR(VLOOKUP(E133,배송지!A:C,3,0)," ")</f>
        <v> </v>
      </c>
      <c r="I133" s="44"/>
      <c r="J133" s="44" t="str">
        <f>IFERROR(VLOOKUP(E133,배송지!A:C,2,0)," ")</f>
        <v> </v>
      </c>
      <c r="K133" s="44"/>
      <c r="L133" s="44" t="str">
        <f t="shared" si="9"/>
        <v>  </v>
      </c>
      <c r="M133" s="43"/>
      <c r="N133" s="44" t="str">
        <f> IFERROR(INDEX('상품정보(1)'!R:R,MATCH(발주서!P133,'상품정보(1)'!F:F,0))," ")</f>
        <v> </v>
      </c>
      <c r="O133" s="43"/>
      <c r="P133" s="44" t="str">
        <f>IFERROR(INDEX('상품정보(1)'!F:F,MATCH(발주서!O133,'상품정보(1)'!E:E,0))," ")</f>
        <v> </v>
      </c>
      <c r="Q133" s="49"/>
      <c r="R133" s="44">
        <f t="shared" si="10"/>
      </c>
      <c r="S133" s="44"/>
      <c r="T133" s="44">
        <f t="shared" si="11"/>
      </c>
      <c r="U133" s="44"/>
      <c r="V133" s="44"/>
      <c r="W133" s="44"/>
      <c r="X133" s="44"/>
    </row>
    <row r="134" ht="15" customHeight="1" spans="1:24" x14ac:dyDescent="0.25">
      <c r="A134" s="40"/>
      <c r="B134" s="46"/>
      <c r="C134" s="42"/>
      <c r="D134" s="43"/>
      <c r="E134" s="10"/>
      <c r="F134" s="44"/>
      <c r="G134" s="45"/>
      <c r="H134" s="46" t="str">
        <f>IFERROR(VLOOKUP(E134,배송지!A:C,3,0)," ")</f>
        <v> </v>
      </c>
      <c r="I134" s="44"/>
      <c r="J134" s="44" t="str">
        <f>IFERROR(VLOOKUP(E134,배송지!A:C,2,0)," ")</f>
        <v> </v>
      </c>
      <c r="K134" s="44"/>
      <c r="L134" s="44" t="str">
        <f t="shared" si="9"/>
        <v>  </v>
      </c>
      <c r="M134" s="43"/>
      <c r="N134" s="44" t="str">
        <f> IFERROR(INDEX('상품정보(1)'!R:R,MATCH(발주서!P134,'상품정보(1)'!F:F,0))," ")</f>
        <v> </v>
      </c>
      <c r="O134" s="43"/>
      <c r="P134" s="44" t="str">
        <f>IFERROR(INDEX('상품정보(1)'!F:F,MATCH(발주서!O134,'상품정보(1)'!E:E,0))," ")</f>
        <v> </v>
      </c>
      <c r="Q134" s="49"/>
      <c r="R134" s="44">
        <f t="shared" si="10"/>
      </c>
      <c r="S134" s="44"/>
      <c r="T134" s="44">
        <f t="shared" si="11"/>
      </c>
      <c r="U134" s="44"/>
      <c r="V134" s="44"/>
      <c r="W134" s="44"/>
      <c r="X134" s="44"/>
    </row>
    <row r="135" ht="15" customHeight="1" spans="1:24" x14ac:dyDescent="0.25">
      <c r="A135" s="40"/>
      <c r="B135" s="46"/>
      <c r="C135" s="42"/>
      <c r="D135" s="43"/>
      <c r="E135" s="10"/>
      <c r="F135" s="44"/>
      <c r="G135" s="45"/>
      <c r="H135" s="46" t="str">
        <f>IFERROR(VLOOKUP(E135,배송지!A:C,3,0)," ")</f>
        <v> </v>
      </c>
      <c r="I135" s="44"/>
      <c r="J135" s="44" t="str">
        <f>IFERROR(VLOOKUP(E135,배송지!A:C,2,0)," ")</f>
        <v> </v>
      </c>
      <c r="K135" s="44"/>
      <c r="L135" s="44" t="str">
        <f t="shared" si="9"/>
        <v>  </v>
      </c>
      <c r="M135" s="43"/>
      <c r="N135" s="44" t="str">
        <f> IFERROR(INDEX('상품정보(1)'!R:R,MATCH(발주서!P135,'상품정보(1)'!F:F,0))," ")</f>
        <v> </v>
      </c>
      <c r="O135" s="43"/>
      <c r="P135" s="44" t="str">
        <f>IFERROR(INDEX('상품정보(1)'!F:F,MATCH(발주서!O135,'상품정보(1)'!E:E,0))," ")</f>
        <v> </v>
      </c>
      <c r="Q135" s="49"/>
      <c r="R135" s="44">
        <f t="shared" si="10"/>
      </c>
      <c r="S135" s="44"/>
      <c r="T135" s="44">
        <f t="shared" si="11"/>
      </c>
      <c r="U135" s="44"/>
      <c r="V135" s="44"/>
      <c r="W135" s="44"/>
      <c r="X135" s="44"/>
    </row>
    <row r="136" ht="15" customHeight="1" spans="1:24" x14ac:dyDescent="0.25">
      <c r="A136" s="40"/>
      <c r="B136" s="46"/>
      <c r="C136" s="42"/>
      <c r="D136" s="43"/>
      <c r="E136" s="10"/>
      <c r="F136" s="44"/>
      <c r="G136" s="45"/>
      <c r="H136" s="46" t="str">
        <f>IFERROR(VLOOKUP(E136,배송지!A:C,3,0)," ")</f>
        <v> </v>
      </c>
      <c r="I136" s="44"/>
      <c r="J136" s="44" t="str">
        <f>IFERROR(VLOOKUP(E136,배송지!A:C,2,0)," ")</f>
        <v> </v>
      </c>
      <c r="K136" s="44"/>
      <c r="L136" s="44" t="str">
        <f t="shared" si="9"/>
        <v>  </v>
      </c>
      <c r="M136" s="43"/>
      <c r="N136" s="44" t="str">
        <f> IFERROR(INDEX('상품정보(1)'!R:R,MATCH(발주서!P136,'상품정보(1)'!F:F,0))," ")</f>
        <v> </v>
      </c>
      <c r="O136" s="43"/>
      <c r="P136" s="44" t="str">
        <f>IFERROR(INDEX('상품정보(1)'!F:F,MATCH(발주서!O136,'상품정보(1)'!E:E,0))," ")</f>
        <v> </v>
      </c>
      <c r="Q136" s="49"/>
      <c r="R136" s="44">
        <f t="shared" si="10"/>
      </c>
      <c r="S136" s="44"/>
      <c r="T136" s="44">
        <f t="shared" si="11"/>
      </c>
      <c r="U136" s="44"/>
      <c r="V136" s="44"/>
      <c r="W136" s="44"/>
      <c r="X136" s="44"/>
    </row>
    <row r="137" ht="15" customHeight="1" spans="1:24" x14ac:dyDescent="0.25">
      <c r="A137" s="40"/>
      <c r="B137" s="46"/>
      <c r="C137" s="42"/>
      <c r="D137" s="43"/>
      <c r="E137" s="10"/>
      <c r="F137" s="44"/>
      <c r="G137" s="45"/>
      <c r="H137" s="46" t="str">
        <f>IFERROR(VLOOKUP(E137,배송지!A:C,3,0)," ")</f>
        <v> </v>
      </c>
      <c r="I137" s="44"/>
      <c r="J137" s="44" t="str">
        <f>IFERROR(VLOOKUP(E137,배송지!A:C,2,0)," ")</f>
        <v> </v>
      </c>
      <c r="K137" s="44"/>
      <c r="L137" s="44" t="str">
        <f t="shared" si="9"/>
        <v>  </v>
      </c>
      <c r="M137" s="43"/>
      <c r="N137" s="44" t="str">
        <f> IFERROR(INDEX('상품정보(1)'!R:R,MATCH(발주서!P137,'상품정보(1)'!F:F,0))," ")</f>
        <v> </v>
      </c>
      <c r="O137" s="43"/>
      <c r="P137" s="44" t="str">
        <f>IFERROR(INDEX('상품정보(1)'!F:F,MATCH(발주서!O137,'상품정보(1)'!E:E,0))," ")</f>
        <v> </v>
      </c>
      <c r="Q137" s="49"/>
      <c r="R137" s="44">
        <f t="shared" si="10"/>
      </c>
      <c r="S137" s="44"/>
      <c r="T137" s="44">
        <f t="shared" si="11"/>
      </c>
      <c r="U137" s="44"/>
      <c r="V137" s="44"/>
      <c r="W137" s="44"/>
      <c r="X137" s="44"/>
    </row>
    <row r="138" ht="15" customHeight="1" spans="1:24" x14ac:dyDescent="0.25">
      <c r="A138" s="40"/>
      <c r="B138" s="46"/>
      <c r="C138" s="42"/>
      <c r="D138" s="43"/>
      <c r="E138" s="10"/>
      <c r="F138" s="44"/>
      <c r="G138" s="45"/>
      <c r="H138" s="46" t="str">
        <f>IFERROR(VLOOKUP(E138,배송지!A:C,3,0)," ")</f>
        <v> </v>
      </c>
      <c r="I138" s="44"/>
      <c r="J138" s="44" t="str">
        <f>IFERROR(VLOOKUP(E138,배송지!A:C,2,0)," ")</f>
        <v> </v>
      </c>
      <c r="K138" s="44"/>
      <c r="L138" s="44" t="str">
        <f t="shared" si="9"/>
        <v>  </v>
      </c>
      <c r="M138" s="43"/>
      <c r="N138" s="44" t="str">
        <f> IFERROR(INDEX('상품정보(1)'!R:R,MATCH(발주서!P138,'상품정보(1)'!F:F,0))," ")</f>
        <v> </v>
      </c>
      <c r="O138" s="43"/>
      <c r="P138" s="44" t="str">
        <f>IFERROR(INDEX('상품정보(1)'!F:F,MATCH(발주서!O138,'상품정보(1)'!E:E,0))," ")</f>
        <v> </v>
      </c>
      <c r="Q138" s="49"/>
      <c r="R138" s="44">
        <f t="shared" si="10"/>
      </c>
      <c r="S138" s="44"/>
      <c r="T138" s="44">
        <f t="shared" si="11"/>
      </c>
      <c r="U138" s="44"/>
      <c r="V138" s="44"/>
      <c r="W138" s="44"/>
      <c r="X138" s="44"/>
    </row>
    <row r="139" ht="15" customHeight="1" spans="1:24" x14ac:dyDescent="0.25">
      <c r="A139" s="40"/>
      <c r="B139" s="46"/>
      <c r="C139" s="42"/>
      <c r="D139" s="43"/>
      <c r="E139" s="10"/>
      <c r="F139" s="44"/>
      <c r="G139" s="45"/>
      <c r="H139" s="46" t="str">
        <f>IFERROR(VLOOKUP(E139,배송지!A:C,3,0)," ")</f>
        <v> </v>
      </c>
      <c r="I139" s="44"/>
      <c r="J139" s="44" t="str">
        <f>IFERROR(VLOOKUP(E139,배송지!A:C,2,0)," ")</f>
        <v> </v>
      </c>
      <c r="K139" s="44"/>
      <c r="L139" s="44" t="str">
        <f t="shared" si="9"/>
        <v>  </v>
      </c>
      <c r="M139" s="43"/>
      <c r="N139" s="44" t="str">
        <f> IFERROR(INDEX('상품정보(1)'!R:R,MATCH(발주서!P139,'상품정보(1)'!F:F,0))," ")</f>
        <v> </v>
      </c>
      <c r="O139" s="43"/>
      <c r="P139" s="44" t="str">
        <f>IFERROR(INDEX('상품정보(1)'!F:F,MATCH(발주서!O139,'상품정보(1)'!E:E,0))," ")</f>
        <v> </v>
      </c>
      <c r="Q139" s="49"/>
      <c r="R139" s="44">
        <f t="shared" si="10"/>
      </c>
      <c r="S139" s="44"/>
      <c r="T139" s="44">
        <f t="shared" si="11"/>
      </c>
      <c r="U139" s="44"/>
      <c r="V139" s="44"/>
      <c r="W139" s="44"/>
      <c r="X139" s="44"/>
    </row>
    <row r="140" ht="15" customHeight="1" spans="1:24" x14ac:dyDescent="0.25">
      <c r="A140" s="40"/>
      <c r="B140" s="46"/>
      <c r="C140" s="42"/>
      <c r="D140" s="43"/>
      <c r="E140" s="10"/>
      <c r="F140" s="44"/>
      <c r="G140" s="45"/>
      <c r="H140" s="46" t="str">
        <f>IFERROR(VLOOKUP(E140,배송지!A:C,3,0)," ")</f>
        <v> </v>
      </c>
      <c r="I140" s="44"/>
      <c r="J140" s="44" t="str">
        <f>IFERROR(VLOOKUP(E140,배송지!A:C,2,0)," ")</f>
        <v> </v>
      </c>
      <c r="K140" s="44"/>
      <c r="L140" s="44" t="str">
        <f t="shared" si="9"/>
        <v>  </v>
      </c>
      <c r="M140" s="43"/>
      <c r="N140" s="44" t="str">
        <f> IFERROR(INDEX('상품정보(1)'!R:R,MATCH(발주서!P140,'상품정보(1)'!F:F,0))," ")</f>
        <v> </v>
      </c>
      <c r="O140" s="43"/>
      <c r="P140" s="44" t="str">
        <f>IFERROR(INDEX('상품정보(1)'!F:F,MATCH(발주서!O140,'상품정보(1)'!E:E,0))," ")</f>
        <v> </v>
      </c>
      <c r="Q140" s="49"/>
      <c r="R140" s="44">
        <f t="shared" si="10"/>
      </c>
      <c r="S140" s="44"/>
      <c r="T140" s="44">
        <f t="shared" si="11"/>
      </c>
      <c r="U140" s="44"/>
      <c r="V140" s="44"/>
      <c r="W140" s="44"/>
      <c r="X140" s="44"/>
    </row>
    <row r="141" ht="15" customHeight="1" spans="1:24" x14ac:dyDescent="0.25">
      <c r="A141" s="40"/>
      <c r="B141" s="46"/>
      <c r="C141" s="42"/>
      <c r="D141" s="43"/>
      <c r="E141" s="10"/>
      <c r="F141" s="44"/>
      <c r="G141" s="45"/>
      <c r="H141" s="46" t="str">
        <f>IFERROR(VLOOKUP(E141,배송지!A:C,3,0)," ")</f>
        <v> </v>
      </c>
      <c r="I141" s="44"/>
      <c r="J141" s="44" t="str">
        <f>IFERROR(VLOOKUP(E141,배송지!A:C,2,0)," ")</f>
        <v> </v>
      </c>
      <c r="K141" s="44"/>
      <c r="L141" s="44" t="str">
        <f t="shared" si="9"/>
        <v>  </v>
      </c>
      <c r="M141" s="43"/>
      <c r="N141" s="44" t="str">
        <f> IFERROR(INDEX('상품정보(1)'!R:R,MATCH(발주서!P141,'상품정보(1)'!F:F,0))," ")</f>
        <v> </v>
      </c>
      <c r="O141" s="43"/>
      <c r="P141" s="44" t="str">
        <f>IFERROR(INDEX('상품정보(1)'!F:F,MATCH(발주서!O141,'상품정보(1)'!E:E,0))," ")</f>
        <v> </v>
      </c>
      <c r="Q141" s="49"/>
      <c r="R141" s="44">
        <f t="shared" si="10"/>
      </c>
      <c r="S141" s="44"/>
      <c r="T141" s="44">
        <f t="shared" si="11"/>
      </c>
      <c r="U141" s="44"/>
      <c r="V141" s="44"/>
      <c r="W141" s="44"/>
      <c r="X141" s="44"/>
    </row>
    <row r="142" ht="15" customHeight="1" spans="1:24" x14ac:dyDescent="0.25">
      <c r="A142" s="40"/>
      <c r="B142" s="46"/>
      <c r="C142" s="42"/>
      <c r="D142" s="43"/>
      <c r="E142" s="10"/>
      <c r="F142" s="44"/>
      <c r="G142" s="45"/>
      <c r="H142" s="46" t="str">
        <f>IFERROR(VLOOKUP(E142,배송지!A:C,3,0)," ")</f>
        <v> </v>
      </c>
      <c r="I142" s="44"/>
      <c r="J142" s="44" t="str">
        <f>IFERROR(VLOOKUP(E142,배송지!A:C,2,0)," ")</f>
        <v> </v>
      </c>
      <c r="K142" s="44"/>
      <c r="L142" s="44" t="str">
        <f t="shared" si="9"/>
        <v>  </v>
      </c>
      <c r="M142" s="43"/>
      <c r="N142" s="44" t="str">
        <f> IFERROR(INDEX('상품정보(1)'!R:R,MATCH(발주서!P142,'상품정보(1)'!F:F,0))," ")</f>
        <v> </v>
      </c>
      <c r="O142" s="43"/>
      <c r="P142" s="44" t="str">
        <f>IFERROR(INDEX('상품정보(1)'!F:F,MATCH(발주서!O142,'상품정보(1)'!E:E,0))," ")</f>
        <v> </v>
      </c>
      <c r="Q142" s="49"/>
      <c r="R142" s="44">
        <f t="shared" si="10"/>
      </c>
      <c r="S142" s="44"/>
      <c r="T142" s="44">
        <f t="shared" si="11"/>
      </c>
      <c r="U142" s="44"/>
      <c r="V142" s="44"/>
      <c r="W142" s="44"/>
      <c r="X142" s="44"/>
    </row>
    <row r="143" ht="15" customHeight="1" spans="1:24" x14ac:dyDescent="0.25">
      <c r="A143" s="40"/>
      <c r="B143" s="46"/>
      <c r="C143" s="42"/>
      <c r="D143" s="43"/>
      <c r="E143" s="10"/>
      <c r="F143" s="44"/>
      <c r="G143" s="45"/>
      <c r="H143" s="46" t="str">
        <f>IFERROR(VLOOKUP(E143,배송지!A:C,3,0)," ")</f>
        <v> </v>
      </c>
      <c r="I143" s="44"/>
      <c r="J143" s="44" t="str">
        <f>IFERROR(VLOOKUP(E143,배송지!A:C,2,0)," ")</f>
        <v> </v>
      </c>
      <c r="K143" s="44"/>
      <c r="L143" s="44" t="str">
        <f t="shared" si="9"/>
        <v>  </v>
      </c>
      <c r="M143" s="43"/>
      <c r="N143" s="44" t="str">
        <f> IFERROR(INDEX('상품정보(1)'!R:R,MATCH(발주서!P143,'상품정보(1)'!F:F,0))," ")</f>
        <v> </v>
      </c>
      <c r="O143" s="43"/>
      <c r="P143" s="44" t="str">
        <f>IFERROR(INDEX('상품정보(1)'!F:F,MATCH(발주서!O143,'상품정보(1)'!E:E,0))," ")</f>
        <v> </v>
      </c>
      <c r="Q143" s="49"/>
      <c r="R143" s="44">
        <f t="shared" si="10"/>
      </c>
      <c r="S143" s="44"/>
      <c r="T143" s="44">
        <f t="shared" si="11"/>
      </c>
      <c r="U143" s="44"/>
      <c r="V143" s="44"/>
      <c r="W143" s="44"/>
      <c r="X143" s="44"/>
    </row>
    <row r="144" ht="15" customHeight="1" spans="1:24" x14ac:dyDescent="0.25">
      <c r="A144" s="40"/>
      <c r="B144" s="46"/>
      <c r="C144" s="42"/>
      <c r="D144" s="43"/>
      <c r="E144" s="10"/>
      <c r="F144" s="44"/>
      <c r="G144" s="45"/>
      <c r="H144" s="46" t="str">
        <f>IFERROR(VLOOKUP(E144,배송지!A:C,3,0)," ")</f>
        <v> </v>
      </c>
      <c r="I144" s="44"/>
      <c r="J144" s="44" t="str">
        <f>IFERROR(VLOOKUP(E144,배송지!A:C,2,0)," ")</f>
        <v> </v>
      </c>
      <c r="K144" s="44"/>
      <c r="L144" s="44" t="str">
        <f t="shared" si="9"/>
        <v>  </v>
      </c>
      <c r="M144" s="43"/>
      <c r="N144" s="44" t="str">
        <f> IFERROR(INDEX('상품정보(1)'!R:R,MATCH(발주서!P144,'상품정보(1)'!F:F,0))," ")</f>
        <v> </v>
      </c>
      <c r="O144" s="43"/>
      <c r="P144" s="44" t="str">
        <f>IFERROR(INDEX('상품정보(1)'!F:F,MATCH(발주서!O144,'상품정보(1)'!E:E,0))," ")</f>
        <v> </v>
      </c>
      <c r="Q144" s="49"/>
      <c r="R144" s="44">
        <f t="shared" si="10"/>
      </c>
      <c r="S144" s="44"/>
      <c r="T144" s="44">
        <f t="shared" si="11"/>
      </c>
      <c r="U144" s="44"/>
      <c r="V144" s="44"/>
      <c r="W144" s="44"/>
      <c r="X144" s="44"/>
    </row>
    <row r="145" ht="15" customHeight="1" spans="1:24" x14ac:dyDescent="0.25">
      <c r="A145" s="40"/>
      <c r="B145" s="46"/>
      <c r="C145" s="42"/>
      <c r="D145" s="43"/>
      <c r="E145" s="10"/>
      <c r="F145" s="44"/>
      <c r="G145" s="45"/>
      <c r="H145" s="46" t="str">
        <f>IFERROR(VLOOKUP(E145,배송지!A:C,3,0)," ")</f>
        <v> </v>
      </c>
      <c r="I145" s="44"/>
      <c r="J145" s="44" t="str">
        <f>IFERROR(VLOOKUP(E145,배송지!A:C,2,0)," ")</f>
        <v> </v>
      </c>
      <c r="K145" s="44"/>
      <c r="L145" s="44" t="str">
        <f t="shared" si="9"/>
        <v>  </v>
      </c>
      <c r="M145" s="43"/>
      <c r="N145" s="44" t="str">
        <f> IFERROR(INDEX('상품정보(1)'!R:R,MATCH(발주서!P145,'상품정보(1)'!F:F,0))," ")</f>
        <v> </v>
      </c>
      <c r="O145" s="43"/>
      <c r="P145" s="44" t="str">
        <f>IFERROR(INDEX('상품정보(1)'!F:F,MATCH(발주서!O145,'상품정보(1)'!E:E,0))," ")</f>
        <v> </v>
      </c>
      <c r="Q145" s="49"/>
      <c r="R145" s="44">
        <f t="shared" si="10"/>
      </c>
      <c r="S145" s="44"/>
      <c r="T145" s="44">
        <f t="shared" si="11"/>
      </c>
      <c r="U145" s="44"/>
      <c r="V145" s="44"/>
      <c r="W145" s="44"/>
      <c r="X145" s="44"/>
    </row>
    <row r="146" ht="15" customHeight="1" spans="1:24" x14ac:dyDescent="0.25">
      <c r="A146" s="40"/>
      <c r="B146" s="46"/>
      <c r="C146" s="42"/>
      <c r="D146" s="43"/>
      <c r="E146" s="10"/>
      <c r="F146" s="44"/>
      <c r="G146" s="45"/>
      <c r="H146" s="46" t="str">
        <f>IFERROR(VLOOKUP(E146,배송지!A:C,3,0)," ")</f>
        <v> </v>
      </c>
      <c r="I146" s="44"/>
      <c r="J146" s="44" t="str">
        <f>IFERROR(VLOOKUP(E146,배송지!A:C,2,0)," ")</f>
        <v> </v>
      </c>
      <c r="K146" s="44"/>
      <c r="L146" s="44" t="str">
        <f t="shared" si="9"/>
        <v>  </v>
      </c>
      <c r="M146" s="43"/>
      <c r="N146" s="44" t="str">
        <f> IFERROR(INDEX('상품정보(1)'!R:R,MATCH(발주서!P146,'상품정보(1)'!F:F,0))," ")</f>
        <v> </v>
      </c>
      <c r="O146" s="43"/>
      <c r="P146" s="44" t="str">
        <f>IFERROR(INDEX('상품정보(1)'!F:F,MATCH(발주서!O146,'상품정보(1)'!E:E,0))," ")</f>
        <v> </v>
      </c>
      <c r="Q146" s="49"/>
      <c r="R146" s="44">
        <f t="shared" si="10"/>
      </c>
      <c r="S146" s="44"/>
      <c r="T146" s="44">
        <f t="shared" si="11"/>
      </c>
      <c r="U146" s="44"/>
      <c r="V146" s="44"/>
      <c r="W146" s="44"/>
      <c r="X146" s="44"/>
    </row>
    <row r="147" ht="15" customHeight="1" spans="1:24" x14ac:dyDescent="0.25">
      <c r="A147" s="40"/>
      <c r="B147" s="46"/>
      <c r="C147" s="42"/>
      <c r="D147" s="43"/>
      <c r="E147" s="10"/>
      <c r="F147" s="44"/>
      <c r="G147" s="45"/>
      <c r="H147" s="46" t="str">
        <f>IFERROR(VLOOKUP(E147,배송지!A:C,3,0)," ")</f>
        <v> </v>
      </c>
      <c r="I147" s="44"/>
      <c r="J147" s="44" t="str">
        <f>IFERROR(VLOOKUP(E147,배송지!A:C,2,0)," ")</f>
        <v> </v>
      </c>
      <c r="K147" s="44"/>
      <c r="L147" s="44" t="str">
        <f t="shared" si="9"/>
        <v>  </v>
      </c>
      <c r="M147" s="43"/>
      <c r="N147" s="44" t="str">
        <f> IFERROR(INDEX('상품정보(1)'!R:R,MATCH(발주서!P147,'상품정보(1)'!F:F,0))," ")</f>
        <v> </v>
      </c>
      <c r="O147" s="43"/>
      <c r="P147" s="44" t="str">
        <f>IFERROR(INDEX('상품정보(1)'!F:F,MATCH(발주서!O147,'상품정보(1)'!E:E,0))," ")</f>
        <v> </v>
      </c>
      <c r="Q147" s="49"/>
      <c r="R147" s="44">
        <f t="shared" si="10"/>
      </c>
      <c r="S147" s="44"/>
      <c r="T147" s="44">
        <f t="shared" si="11"/>
      </c>
      <c r="U147" s="44"/>
      <c r="V147" s="44"/>
      <c r="W147" s="44"/>
      <c r="X147" s="44"/>
    </row>
    <row r="148" ht="15" customHeight="1" spans="1:24" x14ac:dyDescent="0.25">
      <c r="A148" s="40"/>
      <c r="B148" s="46"/>
      <c r="C148" s="42"/>
      <c r="D148" s="43"/>
      <c r="E148" s="10"/>
      <c r="F148" s="44"/>
      <c r="G148" s="45"/>
      <c r="H148" s="46" t="str">
        <f>IFERROR(VLOOKUP(E148,배송지!A:C,3,0)," ")</f>
        <v> </v>
      </c>
      <c r="I148" s="44"/>
      <c r="J148" s="44" t="str">
        <f>IFERROR(VLOOKUP(E148,배송지!A:C,2,0)," ")</f>
        <v> </v>
      </c>
      <c r="K148" s="44"/>
      <c r="L148" s="44" t="str">
        <f t="shared" si="9"/>
        <v>  </v>
      </c>
      <c r="M148" s="43"/>
      <c r="N148" s="44" t="str">
        <f> IFERROR(INDEX('상품정보(1)'!R:R,MATCH(발주서!P148,'상품정보(1)'!F:F,0))," ")</f>
        <v> </v>
      </c>
      <c r="O148" s="43"/>
      <c r="P148" s="44" t="str">
        <f>IFERROR(INDEX('상품정보(1)'!F:F,MATCH(발주서!O148,'상품정보(1)'!E:E,0))," ")</f>
        <v> </v>
      </c>
      <c r="Q148" s="49"/>
      <c r="R148" s="44">
        <f t="shared" si="10"/>
      </c>
      <c r="S148" s="44"/>
      <c r="T148" s="44">
        <f t="shared" si="11"/>
      </c>
      <c r="U148" s="44"/>
      <c r="V148" s="44"/>
      <c r="W148" s="44"/>
      <c r="X148" s="44"/>
    </row>
    <row r="149" ht="15" customHeight="1" spans="1:24" x14ac:dyDescent="0.25">
      <c r="A149" s="40"/>
      <c r="B149" s="46"/>
      <c r="C149" s="42"/>
      <c r="D149" s="43"/>
      <c r="E149" s="10"/>
      <c r="F149" s="44"/>
      <c r="G149" s="45"/>
      <c r="H149" s="46" t="str">
        <f>IFERROR(VLOOKUP(E149,배송지!A:C,3,0)," ")</f>
        <v> </v>
      </c>
      <c r="I149" s="44"/>
      <c r="J149" s="44" t="str">
        <f>IFERROR(VLOOKUP(E149,배송지!A:C,2,0)," ")</f>
        <v> </v>
      </c>
      <c r="K149" s="44"/>
      <c r="L149" s="44" t="str">
        <f t="shared" si="9"/>
        <v>  </v>
      </c>
      <c r="M149" s="43"/>
      <c r="N149" s="44" t="str">
        <f> IFERROR(INDEX('상품정보(1)'!R:R,MATCH(발주서!P149,'상품정보(1)'!F:F,0))," ")</f>
        <v> </v>
      </c>
      <c r="O149" s="43"/>
      <c r="P149" s="44" t="str">
        <f>IFERROR(INDEX('상품정보(1)'!F:F,MATCH(발주서!O149,'상품정보(1)'!E:E,0))," ")</f>
        <v> </v>
      </c>
      <c r="Q149" s="49"/>
      <c r="R149" s="44">
        <f t="shared" si="10"/>
      </c>
      <c r="S149" s="44"/>
      <c r="T149" s="44">
        <f t="shared" si="11"/>
      </c>
      <c r="U149" s="44"/>
      <c r="V149" s="44"/>
      <c r="W149" s="44"/>
      <c r="X149" s="44"/>
    </row>
    <row r="150" ht="15" customHeight="1" spans="1:24" x14ac:dyDescent="0.25">
      <c r="A150" s="40"/>
      <c r="B150" s="46"/>
      <c r="C150" s="42"/>
      <c r="D150" s="43"/>
      <c r="E150" s="10"/>
      <c r="F150" s="44"/>
      <c r="G150" s="45"/>
      <c r="H150" s="46" t="str">
        <f>IFERROR(VLOOKUP(E150,배송지!A:C,3,0)," ")</f>
        <v> </v>
      </c>
      <c r="I150" s="44"/>
      <c r="J150" s="44" t="str">
        <f>IFERROR(VLOOKUP(E150,배송지!A:C,2,0)," ")</f>
        <v> </v>
      </c>
      <c r="K150" s="44"/>
      <c r="L150" s="44" t="str">
        <f t="shared" si="9"/>
        <v>  </v>
      </c>
      <c r="M150" s="43"/>
      <c r="N150" s="44" t="str">
        <f> IFERROR(INDEX('상품정보(1)'!R:R,MATCH(발주서!P150,'상품정보(1)'!F:F,0))," ")</f>
        <v> </v>
      </c>
      <c r="O150" s="43"/>
      <c r="P150" s="44" t="str">
        <f>IFERROR(INDEX('상품정보(1)'!F:F,MATCH(발주서!O150,'상품정보(1)'!E:E,0))," ")</f>
        <v> </v>
      </c>
      <c r="Q150" s="49"/>
      <c r="R150" s="44">
        <f t="shared" si="10"/>
      </c>
      <c r="S150" s="44"/>
      <c r="T150" s="44">
        <f t="shared" si="11"/>
      </c>
      <c r="U150" s="44"/>
      <c r="V150" s="44"/>
      <c r="W150" s="44"/>
      <c r="X150" s="44"/>
    </row>
    <row r="151" ht="15" customHeight="1" spans="1:24" x14ac:dyDescent="0.25">
      <c r="A151" s="40"/>
      <c r="B151" s="46"/>
      <c r="C151" s="42"/>
      <c r="D151" s="43"/>
      <c r="E151" s="10"/>
      <c r="F151" s="44"/>
      <c r="G151" s="45"/>
      <c r="H151" s="46" t="str">
        <f>IFERROR(VLOOKUP(E151,배송지!A:C,3,0)," ")</f>
        <v> </v>
      </c>
      <c r="I151" s="44"/>
      <c r="J151" s="44" t="str">
        <f>IFERROR(VLOOKUP(E151,배송지!A:C,2,0)," ")</f>
        <v> </v>
      </c>
      <c r="K151" s="44"/>
      <c r="L151" s="44" t="str">
        <f t="shared" si="9"/>
        <v>  </v>
      </c>
      <c r="M151" s="43"/>
      <c r="N151" s="44" t="str">
        <f> IFERROR(INDEX('상품정보(1)'!R:R,MATCH(발주서!P151,'상품정보(1)'!F:F,0))," ")</f>
        <v> </v>
      </c>
      <c r="O151" s="43"/>
      <c r="P151" s="44" t="str">
        <f>IFERROR(INDEX('상품정보(1)'!F:F,MATCH(발주서!O151,'상품정보(1)'!E:E,0))," ")</f>
        <v> </v>
      </c>
      <c r="Q151" s="49"/>
      <c r="R151" s="44">
        <f t="shared" si="10"/>
      </c>
      <c r="S151" s="44"/>
      <c r="T151" s="44">
        <f t="shared" si="11"/>
      </c>
      <c r="U151" s="44"/>
      <c r="V151" s="44"/>
      <c r="W151" s="44"/>
      <c r="X151" s="44"/>
    </row>
    <row r="152" ht="15" customHeight="1" spans="1:24" x14ac:dyDescent="0.25">
      <c r="A152" s="40"/>
      <c r="B152" s="46"/>
      <c r="C152" s="42"/>
      <c r="D152" s="43"/>
      <c r="E152" s="10"/>
      <c r="F152" s="44"/>
      <c r="G152" s="45"/>
      <c r="H152" s="46" t="str">
        <f>IFERROR(VLOOKUP(E152,배송지!A:C,3,0)," ")</f>
        <v> </v>
      </c>
      <c r="I152" s="44"/>
      <c r="J152" s="44" t="str">
        <f>IFERROR(VLOOKUP(E152,배송지!A:C,2,0)," ")</f>
        <v> </v>
      </c>
      <c r="K152" s="44"/>
      <c r="L152" s="44" t="str">
        <f t="shared" si="9"/>
        <v>  </v>
      </c>
      <c r="M152" s="43"/>
      <c r="N152" s="44" t="str">
        <f> IFERROR(INDEX('상품정보(1)'!R:R,MATCH(발주서!P152,'상품정보(1)'!F:F,0))," ")</f>
        <v> </v>
      </c>
      <c r="O152" s="43"/>
      <c r="P152" s="44" t="str">
        <f>IFERROR(INDEX('상품정보(1)'!F:F,MATCH(발주서!O152,'상품정보(1)'!E:E,0))," ")</f>
        <v> </v>
      </c>
      <c r="Q152" s="49"/>
      <c r="R152" s="44">
        <f t="shared" si="10"/>
      </c>
      <c r="S152" s="44"/>
      <c r="T152" s="44">
        <f t="shared" si="11"/>
      </c>
      <c r="U152" s="44"/>
      <c r="V152" s="44"/>
      <c r="W152" s="44"/>
      <c r="X152" s="44"/>
    </row>
    <row r="153" ht="15" customHeight="1" spans="1:24" x14ac:dyDescent="0.25">
      <c r="A153" s="40"/>
      <c r="B153" s="46"/>
      <c r="C153" s="42"/>
      <c r="D153" s="43"/>
      <c r="E153" s="10"/>
      <c r="F153" s="44"/>
      <c r="G153" s="45"/>
      <c r="H153" s="46" t="str">
        <f>IFERROR(VLOOKUP(E153,배송지!A:C,3,0)," ")</f>
        <v> </v>
      </c>
      <c r="I153" s="44"/>
      <c r="J153" s="44" t="str">
        <f>IFERROR(VLOOKUP(E153,배송지!A:C,2,0)," ")</f>
        <v> </v>
      </c>
      <c r="K153" s="44"/>
      <c r="L153" s="44" t="str">
        <f t="shared" si="9"/>
        <v>  </v>
      </c>
      <c r="M153" s="43"/>
      <c r="N153" s="44" t="str">
        <f> IFERROR(INDEX('상품정보(1)'!R:R,MATCH(발주서!P153,'상품정보(1)'!F:F,0))," ")</f>
        <v> </v>
      </c>
      <c r="O153" s="43"/>
      <c r="P153" s="44" t="str">
        <f>IFERROR(INDEX('상품정보(1)'!F:F,MATCH(발주서!O153,'상품정보(1)'!E:E,0))," ")</f>
        <v> </v>
      </c>
      <c r="Q153" s="49"/>
      <c r="R153" s="44">
        <f t="shared" si="10"/>
      </c>
      <c r="S153" s="44"/>
      <c r="T153" s="44">
        <f t="shared" si="11"/>
      </c>
      <c r="U153" s="44"/>
      <c r="V153" s="44"/>
      <c r="W153" s="44"/>
      <c r="X153" s="44"/>
    </row>
    <row r="154" ht="15" customHeight="1" spans="1:24" x14ac:dyDescent="0.25">
      <c r="A154" s="40"/>
      <c r="B154" s="46"/>
      <c r="C154" s="42"/>
      <c r="D154" s="43"/>
      <c r="E154" s="10"/>
      <c r="F154" s="44"/>
      <c r="G154" s="45"/>
      <c r="H154" s="46" t="str">
        <f>IFERROR(VLOOKUP(E154,배송지!A:C,3,0)," ")</f>
        <v> </v>
      </c>
      <c r="I154" s="44"/>
      <c r="J154" s="44" t="str">
        <f>IFERROR(VLOOKUP(E154,배송지!A:C,2,0)," ")</f>
        <v> </v>
      </c>
      <c r="K154" s="44"/>
      <c r="L154" s="44" t="str">
        <f t="shared" si="9"/>
        <v>  </v>
      </c>
      <c r="M154" s="43"/>
      <c r="N154" s="44" t="str">
        <f> IFERROR(INDEX('상품정보(1)'!R:R,MATCH(발주서!P154,'상품정보(1)'!F:F,0))," ")</f>
        <v> </v>
      </c>
      <c r="O154" s="43"/>
      <c r="P154" s="44" t="str">
        <f>IFERROR(INDEX('상품정보(1)'!F:F,MATCH(발주서!O154,'상품정보(1)'!E:E,0))," ")</f>
        <v> </v>
      </c>
      <c r="Q154" s="49"/>
      <c r="R154" s="44">
        <f t="shared" si="10"/>
      </c>
      <c r="S154" s="44"/>
      <c r="T154" s="44">
        <f t="shared" si="11"/>
      </c>
      <c r="U154" s="44"/>
      <c r="V154" s="44"/>
      <c r="W154" s="44"/>
      <c r="X154" s="44"/>
    </row>
    <row r="155" ht="15" customHeight="1" spans="1:24" x14ac:dyDescent="0.25">
      <c r="A155" s="40"/>
      <c r="B155" s="46"/>
      <c r="C155" s="42"/>
      <c r="D155" s="43"/>
      <c r="E155" s="10"/>
      <c r="F155" s="44"/>
      <c r="G155" s="45"/>
      <c r="H155" s="46" t="str">
        <f>IFERROR(VLOOKUP(E155,배송지!A:C,3,0)," ")</f>
        <v> </v>
      </c>
      <c r="I155" s="44"/>
      <c r="J155" s="44" t="str">
        <f>IFERROR(VLOOKUP(E155,배송지!A:C,2,0)," ")</f>
        <v> </v>
      </c>
      <c r="K155" s="44"/>
      <c r="L155" s="44" t="str">
        <f t="shared" si="9"/>
        <v>  </v>
      </c>
      <c r="M155" s="43"/>
      <c r="N155" s="44" t="str">
        <f> IFERROR(INDEX('상품정보(1)'!R:R,MATCH(발주서!P155,'상품정보(1)'!F:F,0))," ")</f>
        <v> </v>
      </c>
      <c r="O155" s="43"/>
      <c r="P155" s="44" t="str">
        <f>IFERROR(INDEX('상품정보(1)'!F:F,MATCH(발주서!O155,'상품정보(1)'!E:E,0))," ")</f>
        <v> </v>
      </c>
      <c r="Q155" s="49"/>
      <c r="R155" s="44">
        <f t="shared" si="10"/>
      </c>
      <c r="S155" s="44"/>
      <c r="T155" s="44">
        <f t="shared" si="11"/>
      </c>
      <c r="U155" s="44"/>
      <c r="V155" s="44"/>
      <c r="W155" s="44"/>
      <c r="X155" s="44"/>
    </row>
    <row r="156" ht="15" customHeight="1" spans="1:24" x14ac:dyDescent="0.25">
      <c r="A156" s="40"/>
      <c r="B156" s="46"/>
      <c r="C156" s="42"/>
      <c r="D156" s="43"/>
      <c r="E156" s="10"/>
      <c r="F156" s="44"/>
      <c r="G156" s="45"/>
      <c r="H156" s="46" t="str">
        <f>IFERROR(VLOOKUP(E156,배송지!A:C,3,0)," ")</f>
        <v> </v>
      </c>
      <c r="I156" s="44"/>
      <c r="J156" s="44" t="str">
        <f>IFERROR(VLOOKUP(E156,배송지!A:C,2,0)," ")</f>
        <v> </v>
      </c>
      <c r="K156" s="44"/>
      <c r="L156" s="44" t="str">
        <f t="shared" si="9"/>
        <v>  </v>
      </c>
      <c r="M156" s="43"/>
      <c r="N156" s="44" t="str">
        <f> IFERROR(INDEX('상품정보(1)'!R:R,MATCH(발주서!P156,'상품정보(1)'!F:F,0))," ")</f>
        <v> </v>
      </c>
      <c r="O156" s="43"/>
      <c r="P156" s="44" t="str">
        <f>IFERROR(INDEX('상품정보(1)'!F:F,MATCH(발주서!O156,'상품정보(1)'!E:E,0))," ")</f>
        <v> </v>
      </c>
      <c r="Q156" s="49"/>
      <c r="R156" s="44">
        <f t="shared" si="10"/>
      </c>
      <c r="S156" s="44"/>
      <c r="T156" s="44">
        <f t="shared" si="11"/>
      </c>
      <c r="U156" s="44"/>
      <c r="V156" s="44"/>
      <c r="W156" s="44"/>
      <c r="X156" s="44"/>
    </row>
    <row r="157" ht="15" customHeight="1" spans="1:24" x14ac:dyDescent="0.25">
      <c r="A157" s="40"/>
      <c r="B157" s="46"/>
      <c r="C157" s="42"/>
      <c r="D157" s="43"/>
      <c r="E157" s="10"/>
      <c r="F157" s="44"/>
      <c r="G157" s="45"/>
      <c r="H157" s="46" t="str">
        <f>IFERROR(VLOOKUP(E157,배송지!A:C,3,0)," ")</f>
        <v> </v>
      </c>
      <c r="I157" s="44"/>
      <c r="J157" s="44" t="str">
        <f>IFERROR(VLOOKUP(E157,배송지!A:C,2,0)," ")</f>
        <v> </v>
      </c>
      <c r="K157" s="44"/>
      <c r="L157" s="44" t="str">
        <f t="shared" si="9"/>
        <v>  </v>
      </c>
      <c r="M157" s="43"/>
      <c r="N157" s="44" t="str">
        <f> IFERROR(INDEX('상품정보(1)'!R:R,MATCH(발주서!P157,'상품정보(1)'!F:F,0))," ")</f>
        <v> </v>
      </c>
      <c r="O157" s="43"/>
      <c r="P157" s="44" t="str">
        <f>IFERROR(INDEX('상품정보(1)'!F:F,MATCH(발주서!O157,'상품정보(1)'!E:E,0))," ")</f>
        <v> </v>
      </c>
      <c r="Q157" s="49"/>
      <c r="R157" s="44">
        <f t="shared" si="10"/>
      </c>
      <c r="S157" s="44"/>
      <c r="T157" s="44">
        <f t="shared" si="11"/>
      </c>
      <c r="U157" s="44"/>
      <c r="V157" s="44"/>
      <c r="W157" s="44"/>
      <c r="X157" s="44"/>
    </row>
    <row r="158" ht="15" customHeight="1" spans="1:24" x14ac:dyDescent="0.25">
      <c r="A158" s="40"/>
      <c r="B158" s="46"/>
      <c r="C158" s="42"/>
      <c r="D158" s="43"/>
      <c r="E158" s="10"/>
      <c r="F158" s="44"/>
      <c r="G158" s="45"/>
      <c r="H158" s="46" t="str">
        <f>IFERROR(VLOOKUP(E158,배송지!A:C,3,0)," ")</f>
        <v> </v>
      </c>
      <c r="I158" s="44"/>
      <c r="J158" s="44" t="str">
        <f>IFERROR(VLOOKUP(E158,배송지!A:C,2,0)," ")</f>
        <v> </v>
      </c>
      <c r="K158" s="44"/>
      <c r="L158" s="44" t="str">
        <f t="shared" si="9"/>
        <v>  </v>
      </c>
      <c r="M158" s="43"/>
      <c r="N158" s="44" t="str">
        <f> IFERROR(INDEX('상품정보(1)'!R:R,MATCH(발주서!P158,'상품정보(1)'!F:F,0))," ")</f>
        <v> </v>
      </c>
      <c r="O158" s="43"/>
      <c r="P158" s="44" t="str">
        <f>IFERROR(INDEX('상품정보(1)'!F:F,MATCH(발주서!O158,'상품정보(1)'!E:E,0))," ")</f>
        <v> </v>
      </c>
      <c r="Q158" s="49"/>
      <c r="R158" s="44">
        <f t="shared" si="10"/>
      </c>
      <c r="S158" s="44"/>
      <c r="T158" s="44">
        <f t="shared" si="11"/>
      </c>
      <c r="U158" s="44"/>
      <c r="V158" s="44"/>
      <c r="W158" s="44"/>
      <c r="X158" s="44"/>
    </row>
    <row r="159" ht="15" customHeight="1" spans="1:24" x14ac:dyDescent="0.25">
      <c r="A159" s="40"/>
      <c r="B159" s="46"/>
      <c r="C159" s="42"/>
      <c r="D159" s="43"/>
      <c r="E159" s="10"/>
      <c r="F159" s="44"/>
      <c r="G159" s="45"/>
      <c r="H159" s="46" t="str">
        <f>IFERROR(VLOOKUP(E159,배송지!A:C,3,0)," ")</f>
        <v> </v>
      </c>
      <c r="I159" s="44"/>
      <c r="J159" s="44" t="str">
        <f>IFERROR(VLOOKUP(E159,배송지!A:C,2,0)," ")</f>
        <v> </v>
      </c>
      <c r="K159" s="44"/>
      <c r="L159" s="44" t="str">
        <f t="shared" si="9"/>
        <v>  </v>
      </c>
      <c r="M159" s="43"/>
      <c r="N159" s="44" t="str">
        <f> IFERROR(INDEX('상품정보(1)'!R:R,MATCH(발주서!P159,'상품정보(1)'!F:F,0))," ")</f>
        <v> </v>
      </c>
      <c r="O159" s="43"/>
      <c r="P159" s="44" t="str">
        <f>IFERROR(INDEX('상품정보(1)'!F:F,MATCH(발주서!O159,'상품정보(1)'!E:E,0))," ")</f>
        <v> </v>
      </c>
      <c r="Q159" s="49"/>
      <c r="R159" s="44">
        <f t="shared" si="10"/>
      </c>
      <c r="S159" s="44"/>
      <c r="T159" s="44">
        <f t="shared" si="11"/>
      </c>
      <c r="U159" s="44"/>
      <c r="V159" s="44"/>
      <c r="W159" s="44"/>
      <c r="X159" s="44"/>
    </row>
    <row r="160" ht="15" customHeight="1" spans="1:24" x14ac:dyDescent="0.25">
      <c r="A160" s="40"/>
      <c r="B160" s="46"/>
      <c r="C160" s="42"/>
      <c r="D160" s="43"/>
      <c r="E160" s="10"/>
      <c r="F160" s="44"/>
      <c r="G160" s="45"/>
      <c r="H160" s="46" t="str">
        <f>IFERROR(VLOOKUP(E160,배송지!A:C,3,0)," ")</f>
        <v> </v>
      </c>
      <c r="I160" s="44"/>
      <c r="J160" s="44" t="str">
        <f>IFERROR(VLOOKUP(E160,배송지!A:C,2,0)," ")</f>
        <v> </v>
      </c>
      <c r="K160" s="44"/>
      <c r="L160" s="44" t="str">
        <f t="shared" si="9"/>
        <v>  </v>
      </c>
      <c r="M160" s="43"/>
      <c r="N160" s="44" t="str">
        <f> IFERROR(INDEX('상품정보(1)'!R:R,MATCH(발주서!P160,'상품정보(1)'!F:F,0))," ")</f>
        <v> </v>
      </c>
      <c r="O160" s="43"/>
      <c r="P160" s="44" t="str">
        <f>IFERROR(INDEX('상품정보(1)'!F:F,MATCH(발주서!O160,'상품정보(1)'!E:E,0))," ")</f>
        <v> </v>
      </c>
      <c r="Q160" s="49"/>
      <c r="R160" s="44">
        <f t="shared" si="10"/>
      </c>
      <c r="S160" s="44"/>
      <c r="T160" s="44">
        <f t="shared" si="11"/>
      </c>
      <c r="U160" s="44"/>
      <c r="V160" s="44"/>
      <c r="W160" s="44"/>
      <c r="X160" s="44"/>
    </row>
    <row r="161" ht="15" customHeight="1" spans="1:24" x14ac:dyDescent="0.25">
      <c r="A161" s="40"/>
      <c r="B161" s="46"/>
      <c r="C161" s="42"/>
      <c r="D161" s="43"/>
      <c r="E161" s="10"/>
      <c r="F161" s="44"/>
      <c r="G161" s="45"/>
      <c r="H161" s="46" t="str">
        <f>IFERROR(VLOOKUP(E161,배송지!A:C,3,0)," ")</f>
        <v> </v>
      </c>
      <c r="I161" s="44"/>
      <c r="J161" s="44" t="str">
        <f>IFERROR(VLOOKUP(E161,배송지!A:C,2,0)," ")</f>
        <v> </v>
      </c>
      <c r="K161" s="44"/>
      <c r="L161" s="44" t="str">
        <f t="shared" si="9"/>
        <v>  </v>
      </c>
      <c r="M161" s="43"/>
      <c r="N161" s="44" t="str">
        <f> IFERROR(INDEX('상품정보(1)'!R:R,MATCH(발주서!P161,'상품정보(1)'!F:F,0))," ")</f>
        <v> </v>
      </c>
      <c r="O161" s="43"/>
      <c r="P161" s="44" t="str">
        <f>IFERROR(INDEX('상품정보(1)'!F:F,MATCH(발주서!O161,'상품정보(1)'!E:E,0))," ")</f>
        <v> </v>
      </c>
      <c r="Q161" s="49"/>
      <c r="R161" s="44">
        <f t="shared" si="10"/>
      </c>
      <c r="S161" s="44"/>
      <c r="T161" s="44">
        <f t="shared" si="11"/>
      </c>
      <c r="U161" s="44"/>
      <c r="V161" s="44"/>
      <c r="W161" s="44"/>
      <c r="X161" s="44"/>
    </row>
    <row r="162" ht="15" customHeight="1" spans="1:24" x14ac:dyDescent="0.25">
      <c r="A162" s="40"/>
      <c r="B162" s="46"/>
      <c r="C162" s="42"/>
      <c r="D162" s="43"/>
      <c r="E162" s="10"/>
      <c r="F162" s="44"/>
      <c r="G162" s="45"/>
      <c r="H162" s="46" t="str">
        <f>IFERROR(VLOOKUP(E162,배송지!A:C,3,0)," ")</f>
        <v> </v>
      </c>
      <c r="I162" s="44"/>
      <c r="J162" s="44" t="str">
        <f>IFERROR(VLOOKUP(E162,배송지!A:C,2,0)," ")</f>
        <v> </v>
      </c>
      <c r="K162" s="44"/>
      <c r="L162" s="44" t="str">
        <f t="shared" si="9"/>
        <v>  </v>
      </c>
      <c r="M162" s="43"/>
      <c r="N162" s="44" t="str">
        <f> IFERROR(INDEX('상품정보(1)'!R:R,MATCH(발주서!P162,'상품정보(1)'!F:F,0))," ")</f>
        <v> </v>
      </c>
      <c r="O162" s="43"/>
      <c r="P162" s="44" t="str">
        <f>IFERROR(INDEX('상품정보(1)'!F:F,MATCH(발주서!O162,'상품정보(1)'!E:E,0))," ")</f>
        <v> </v>
      </c>
      <c r="Q162" s="49"/>
      <c r="R162" s="44">
        <f t="shared" si="10"/>
      </c>
      <c r="S162" s="44"/>
      <c r="T162" s="44">
        <f t="shared" si="11"/>
      </c>
      <c r="U162" s="44"/>
      <c r="V162" s="44"/>
      <c r="W162" s="44"/>
      <c r="X162" s="44"/>
    </row>
    <row r="163" ht="15" customHeight="1" spans="1:24" x14ac:dyDescent="0.25">
      <c r="A163" s="40"/>
      <c r="B163" s="46"/>
      <c r="C163" s="42"/>
      <c r="D163" s="43"/>
      <c r="E163" s="10"/>
      <c r="F163" s="44"/>
      <c r="G163" s="45"/>
      <c r="H163" s="46" t="str">
        <f>IFERROR(VLOOKUP(E163,배송지!A:C,3,0)," ")</f>
        <v> </v>
      </c>
      <c r="I163" s="44"/>
      <c r="J163" s="44" t="str">
        <f>IFERROR(VLOOKUP(E163,배송지!A:C,2,0)," ")</f>
        <v> </v>
      </c>
      <c r="K163" s="44"/>
      <c r="L163" s="44" t="str">
        <f t="shared" si="9"/>
        <v>  </v>
      </c>
      <c r="M163" s="43"/>
      <c r="N163" s="44" t="str">
        <f> IFERROR(INDEX('상품정보(1)'!R:R,MATCH(발주서!P163,'상품정보(1)'!F:F,0))," ")</f>
        <v> </v>
      </c>
      <c r="O163" s="43"/>
      <c r="P163" s="44" t="str">
        <f>IFERROR(INDEX('상품정보(1)'!F:F,MATCH(발주서!O163,'상품정보(1)'!E:E,0))," ")</f>
        <v> </v>
      </c>
      <c r="Q163" s="49"/>
      <c r="R163" s="44">
        <f t="shared" si="10"/>
      </c>
      <c r="S163" s="44"/>
      <c r="T163" s="44">
        <f t="shared" si="11"/>
      </c>
      <c r="U163" s="44"/>
      <c r="V163" s="44"/>
      <c r="W163" s="44"/>
      <c r="X163" s="44"/>
    </row>
    <row r="164" ht="15" customHeight="1" spans="1:24" x14ac:dyDescent="0.25">
      <c r="A164" s="40"/>
      <c r="B164" s="46"/>
      <c r="C164" s="42"/>
      <c r="D164" s="43"/>
      <c r="E164" s="10"/>
      <c r="F164" s="44"/>
      <c r="G164" s="45"/>
      <c r="H164" s="46" t="str">
        <f>IFERROR(VLOOKUP(E164,배송지!A:C,3,0)," ")</f>
        <v> </v>
      </c>
      <c r="I164" s="44"/>
      <c r="J164" s="44" t="str">
        <f>IFERROR(VLOOKUP(E164,배송지!A:C,2,0)," ")</f>
        <v> </v>
      </c>
      <c r="K164" s="44"/>
      <c r="L164" s="44" t="str">
        <f t="shared" si="9"/>
        <v>  </v>
      </c>
      <c r="M164" s="43"/>
      <c r="N164" s="44" t="str">
        <f> IFERROR(INDEX('상품정보(1)'!R:R,MATCH(발주서!P164,'상품정보(1)'!F:F,0))," ")</f>
        <v> </v>
      </c>
      <c r="O164" s="43"/>
      <c r="P164" s="44" t="str">
        <f>IFERROR(INDEX('상품정보(1)'!F:F,MATCH(발주서!O164,'상품정보(1)'!E:E,0))," ")</f>
        <v> </v>
      </c>
      <c r="Q164" s="49"/>
      <c r="R164" s="44">
        <f t="shared" si="10"/>
      </c>
      <c r="S164" s="44"/>
      <c r="T164" s="44">
        <f t="shared" si="11"/>
      </c>
      <c r="U164" s="44"/>
      <c r="V164" s="44"/>
      <c r="W164" s="44"/>
      <c r="X164" s="44"/>
    </row>
    <row r="165" ht="15" customHeight="1" spans="1:24" x14ac:dyDescent="0.25">
      <c r="A165" s="40"/>
      <c r="B165" s="46"/>
      <c r="C165" s="42"/>
      <c r="D165" s="43"/>
      <c r="E165" s="10"/>
      <c r="F165" s="44"/>
      <c r="G165" s="45"/>
      <c r="H165" s="46" t="str">
        <f>IFERROR(VLOOKUP(E165,배송지!A:C,3,0)," ")</f>
        <v> </v>
      </c>
      <c r="I165" s="44"/>
      <c r="J165" s="44" t="str">
        <f>IFERROR(VLOOKUP(E165,배송지!A:C,2,0)," ")</f>
        <v> </v>
      </c>
      <c r="K165" s="44"/>
      <c r="L165" s="44" t="str">
        <f t="shared" si="9"/>
        <v>  </v>
      </c>
      <c r="M165" s="43"/>
      <c r="N165" s="44" t="str">
        <f> IFERROR(INDEX('상품정보(1)'!R:R,MATCH(발주서!P165,'상품정보(1)'!F:F,0))," ")</f>
        <v> </v>
      </c>
      <c r="O165" s="43"/>
      <c r="P165" s="44" t="str">
        <f>IFERROR(INDEX('상품정보(1)'!F:F,MATCH(발주서!O165,'상품정보(1)'!E:E,0))," ")</f>
        <v> </v>
      </c>
      <c r="Q165" s="49"/>
      <c r="R165" s="44">
        <f t="shared" si="10"/>
      </c>
      <c r="S165" s="44"/>
      <c r="T165" s="44">
        <f t="shared" si="11"/>
      </c>
      <c r="U165" s="44"/>
      <c r="V165" s="44"/>
      <c r="W165" s="44"/>
      <c r="X165" s="44"/>
    </row>
    <row r="166" ht="15" customHeight="1" spans="1:24" x14ac:dyDescent="0.25">
      <c r="A166" s="40"/>
      <c r="B166" s="46"/>
      <c r="C166" s="42"/>
      <c r="D166" s="43"/>
      <c r="E166" s="10"/>
      <c r="F166" s="44"/>
      <c r="G166" s="45"/>
      <c r="H166" s="46" t="str">
        <f>IFERROR(VLOOKUP(E166,배송지!A:C,3,0)," ")</f>
        <v> </v>
      </c>
      <c r="I166" s="44"/>
      <c r="J166" s="44" t="str">
        <f>IFERROR(VLOOKUP(E166,배송지!A:C,2,0)," ")</f>
        <v> </v>
      </c>
      <c r="K166" s="44"/>
      <c r="L166" s="44" t="str">
        <f t="shared" si="9"/>
        <v>  </v>
      </c>
      <c r="M166" s="43"/>
      <c r="N166" s="44" t="str">
        <f> IFERROR(INDEX('상품정보(1)'!R:R,MATCH(발주서!P166,'상품정보(1)'!F:F,0))," ")</f>
        <v> </v>
      </c>
      <c r="O166" s="43"/>
      <c r="P166" s="44" t="str">
        <f>IFERROR(INDEX('상품정보(1)'!F:F,MATCH(발주서!O166,'상품정보(1)'!E:E,0))," ")</f>
        <v> </v>
      </c>
      <c r="Q166" s="49"/>
      <c r="R166" s="44">
        <f t="shared" si="10"/>
      </c>
      <c r="S166" s="44"/>
      <c r="T166" s="44">
        <f t="shared" si="11"/>
      </c>
      <c r="U166" s="44"/>
      <c r="V166" s="44"/>
      <c r="W166" s="44"/>
      <c r="X166" s="44"/>
    </row>
    <row r="167" ht="15" customHeight="1" spans="1:24" x14ac:dyDescent="0.25">
      <c r="A167" s="40"/>
      <c r="B167" s="46"/>
      <c r="C167" s="42"/>
      <c r="D167" s="43"/>
      <c r="E167" s="10"/>
      <c r="F167" s="44"/>
      <c r="G167" s="45"/>
      <c r="H167" s="46" t="str">
        <f>IFERROR(VLOOKUP(E167,배송지!A:C,3,0)," ")</f>
        <v> </v>
      </c>
      <c r="I167" s="44"/>
      <c r="J167" s="44" t="str">
        <f>IFERROR(VLOOKUP(E167,배송지!A:C,2,0)," ")</f>
        <v> </v>
      </c>
      <c r="K167" s="44"/>
      <c r="L167" s="44" t="str">
        <f t="shared" si="9"/>
        <v>  </v>
      </c>
      <c r="M167" s="43"/>
      <c r="N167" s="44" t="str">
        <f> IFERROR(INDEX('상품정보(1)'!R:R,MATCH(발주서!P167,'상품정보(1)'!F:F,0))," ")</f>
        <v> </v>
      </c>
      <c r="O167" s="43"/>
      <c r="P167" s="44" t="str">
        <f>IFERROR(INDEX('상품정보(1)'!F:F,MATCH(발주서!O167,'상품정보(1)'!E:E,0))," ")</f>
        <v> </v>
      </c>
      <c r="Q167" s="49"/>
      <c r="R167" s="44">
        <f t="shared" si="10"/>
      </c>
      <c r="S167" s="44"/>
      <c r="T167" s="44">
        <f t="shared" si="11"/>
      </c>
      <c r="U167" s="44"/>
      <c r="V167" s="44"/>
      <c r="W167" s="44"/>
      <c r="X167" s="44"/>
    </row>
    <row r="168" ht="15" customHeight="1" spans="1:24" x14ac:dyDescent="0.25">
      <c r="A168" s="40"/>
      <c r="B168" s="46"/>
      <c r="C168" s="42"/>
      <c r="D168" s="43"/>
      <c r="E168" s="10"/>
      <c r="F168" s="44"/>
      <c r="G168" s="45"/>
      <c r="H168" s="46" t="str">
        <f>IFERROR(VLOOKUP(E168,배송지!A:C,3,0)," ")</f>
        <v> </v>
      </c>
      <c r="I168" s="44"/>
      <c r="J168" s="44" t="str">
        <f>IFERROR(VLOOKUP(E168,배송지!A:C,2,0)," ")</f>
        <v> </v>
      </c>
      <c r="K168" s="44"/>
      <c r="L168" s="44" t="str">
        <f t="shared" si="9"/>
        <v>  </v>
      </c>
      <c r="M168" s="43"/>
      <c r="N168" s="44" t="str">
        <f> IFERROR(INDEX('상품정보(1)'!R:R,MATCH(발주서!P168,'상품정보(1)'!F:F,0))," ")</f>
        <v> </v>
      </c>
      <c r="O168" s="43"/>
      <c r="P168" s="44" t="str">
        <f>IFERROR(INDEX('상품정보(1)'!F:F,MATCH(발주서!O168,'상품정보(1)'!E:E,0))," ")</f>
        <v> </v>
      </c>
      <c r="Q168" s="49"/>
      <c r="R168" s="44">
        <f t="shared" si="10"/>
      </c>
      <c r="S168" s="44"/>
      <c r="T168" s="44">
        <f t="shared" si="11"/>
      </c>
      <c r="U168" s="44"/>
      <c r="V168" s="44"/>
      <c r="W168" s="44"/>
      <c r="X168" s="44"/>
    </row>
    <row r="169" ht="15" customHeight="1" spans="1:24" x14ac:dyDescent="0.25">
      <c r="A169" s="40"/>
      <c r="B169" s="46"/>
      <c r="C169" s="42"/>
      <c r="D169" s="43"/>
      <c r="E169" s="10"/>
      <c r="F169" s="44"/>
      <c r="G169" s="45"/>
      <c r="H169" s="46" t="str">
        <f>IFERROR(VLOOKUP(E169,배송지!A:C,3,0)," ")</f>
        <v> </v>
      </c>
      <c r="I169" s="44"/>
      <c r="J169" s="44" t="str">
        <f>IFERROR(VLOOKUP(E169,배송지!A:C,2,0)," ")</f>
        <v> </v>
      </c>
      <c r="K169" s="44"/>
      <c r="L169" s="44" t="str">
        <f t="shared" si="9"/>
        <v>  </v>
      </c>
      <c r="M169" s="43"/>
      <c r="N169" s="44" t="str">
        <f> IFERROR(INDEX('상품정보(1)'!R:R,MATCH(발주서!P169,'상품정보(1)'!F:F,0))," ")</f>
        <v> </v>
      </c>
      <c r="O169" s="43"/>
      <c r="P169" s="44" t="str">
        <f>IFERROR(INDEX('상품정보(1)'!F:F,MATCH(발주서!O169,'상품정보(1)'!E:E,0))," ")</f>
        <v> </v>
      </c>
      <c r="Q169" s="49"/>
      <c r="R169" s="44">
        <f t="shared" si="10"/>
      </c>
      <c r="S169" s="44"/>
      <c r="T169" s="44">
        <f t="shared" si="11"/>
      </c>
      <c r="U169" s="44"/>
      <c r="V169" s="44"/>
      <c r="W169" s="44"/>
      <c r="X169" s="44"/>
    </row>
    <row r="170" ht="15" customHeight="1" spans="1:24" x14ac:dyDescent="0.25">
      <c r="A170" s="40"/>
      <c r="B170" s="46"/>
      <c r="C170" s="42"/>
      <c r="D170" s="43"/>
      <c r="E170" s="10"/>
      <c r="F170" s="44"/>
      <c r="G170" s="45"/>
      <c r="H170" s="46" t="str">
        <f>IFERROR(VLOOKUP(E170,배송지!A:C,3,0)," ")</f>
        <v> </v>
      </c>
      <c r="I170" s="44"/>
      <c r="J170" s="44" t="str">
        <f>IFERROR(VLOOKUP(E170,배송지!A:C,2,0)," ")</f>
        <v> </v>
      </c>
      <c r="K170" s="44"/>
      <c r="L170" s="44" t="str">
        <f t="shared" si="9"/>
        <v>  </v>
      </c>
      <c r="M170" s="43"/>
      <c r="N170" s="44" t="str">
        <f> IFERROR(INDEX('상품정보(1)'!R:R,MATCH(발주서!P170,'상품정보(1)'!F:F,0))," ")</f>
        <v> </v>
      </c>
      <c r="O170" s="43"/>
      <c r="P170" s="44" t="str">
        <f>IFERROR(INDEX('상품정보(1)'!F:F,MATCH(발주서!O170,'상품정보(1)'!E:E,0))," ")</f>
        <v> </v>
      </c>
      <c r="Q170" s="49"/>
      <c r="R170" s="44">
        <f t="shared" si="10"/>
      </c>
      <c r="S170" s="44"/>
      <c r="T170" s="44">
        <f t="shared" si="11"/>
      </c>
      <c r="U170" s="44"/>
      <c r="V170" s="44"/>
      <c r="W170" s="44"/>
      <c r="X170" s="44"/>
    </row>
    <row r="171" ht="15" customHeight="1" spans="1:24" x14ac:dyDescent="0.25">
      <c r="A171" s="40"/>
      <c r="B171" s="46"/>
      <c r="C171" s="42"/>
      <c r="D171" s="43"/>
      <c r="E171" s="10"/>
      <c r="F171" s="44"/>
      <c r="G171" s="45"/>
      <c r="H171" s="46" t="str">
        <f>IFERROR(VLOOKUP(E171,배송지!A:C,3,0)," ")</f>
        <v> </v>
      </c>
      <c r="I171" s="44"/>
      <c r="J171" s="44" t="str">
        <f>IFERROR(VLOOKUP(E171,배송지!A:C,2,0)," ")</f>
        <v> </v>
      </c>
      <c r="K171" s="44"/>
      <c r="L171" s="44" t="str">
        <f t="shared" si="9"/>
        <v>  </v>
      </c>
      <c r="M171" s="43"/>
      <c r="N171" s="44" t="str">
        <f> IFERROR(INDEX('상품정보(1)'!R:R,MATCH(발주서!P171,'상품정보(1)'!F:F,0))," ")</f>
        <v> </v>
      </c>
      <c r="O171" s="43"/>
      <c r="P171" s="44" t="str">
        <f>IFERROR(INDEX('상품정보(1)'!F:F,MATCH(발주서!O171,'상품정보(1)'!E:E,0))," ")</f>
        <v> </v>
      </c>
      <c r="Q171" s="49"/>
      <c r="R171" s="44">
        <f t="shared" si="10"/>
      </c>
      <c r="S171" s="44"/>
      <c r="T171" s="44">
        <f t="shared" si="11"/>
      </c>
      <c r="U171" s="44"/>
      <c r="V171" s="44"/>
      <c r="W171" s="44"/>
      <c r="X171" s="44"/>
    </row>
    <row r="172" ht="15" customHeight="1" spans="1:24" x14ac:dyDescent="0.25">
      <c r="A172" s="40"/>
      <c r="B172" s="46"/>
      <c r="C172" s="42"/>
      <c r="D172" s="43"/>
      <c r="E172" s="10"/>
      <c r="F172" s="44"/>
      <c r="G172" s="45"/>
      <c r="H172" s="46" t="str">
        <f>IFERROR(VLOOKUP(E172,배송지!A:C,3,0)," ")</f>
        <v> </v>
      </c>
      <c r="I172" s="44"/>
      <c r="J172" s="44" t="str">
        <f>IFERROR(VLOOKUP(E172,배송지!A:C,2,0)," ")</f>
        <v> </v>
      </c>
      <c r="K172" s="44"/>
      <c r="L172" s="44" t="str">
        <f t="shared" si="9"/>
        <v>  </v>
      </c>
      <c r="M172" s="43"/>
      <c r="N172" s="44" t="str">
        <f> IFERROR(INDEX('상품정보(1)'!R:R,MATCH(발주서!P172,'상품정보(1)'!F:F,0))," ")</f>
        <v> </v>
      </c>
      <c r="O172" s="43"/>
      <c r="P172" s="44" t="str">
        <f>IFERROR(INDEX('상품정보(1)'!F:F,MATCH(발주서!O172,'상품정보(1)'!E:E,0))," ")</f>
        <v> </v>
      </c>
      <c r="Q172" s="49"/>
      <c r="R172" s="44">
        <f t="shared" si="10"/>
      </c>
      <c r="S172" s="44"/>
      <c r="T172" s="44">
        <f t="shared" si="11"/>
      </c>
      <c r="U172" s="44"/>
      <c r="V172" s="44"/>
      <c r="W172" s="44"/>
      <c r="X172" s="44"/>
    </row>
    <row r="173" ht="15" customHeight="1" spans="1:24" x14ac:dyDescent="0.25">
      <c r="A173" s="40"/>
      <c r="B173" s="46"/>
      <c r="C173" s="42"/>
      <c r="D173" s="43"/>
      <c r="E173" s="10"/>
      <c r="F173" s="44"/>
      <c r="G173" s="45"/>
      <c r="H173" s="46" t="str">
        <f>IFERROR(VLOOKUP(E173,배송지!A:C,3,0)," ")</f>
        <v> </v>
      </c>
      <c r="I173" s="44"/>
      <c r="J173" s="44" t="str">
        <f>IFERROR(VLOOKUP(E173,배송지!A:C,2,0)," ")</f>
        <v> </v>
      </c>
      <c r="K173" s="44"/>
      <c r="L173" s="44" t="str">
        <f t="shared" si="9"/>
        <v>  </v>
      </c>
      <c r="M173" s="43"/>
      <c r="N173" s="44" t="str">
        <f> IFERROR(INDEX('상품정보(1)'!R:R,MATCH(발주서!P173,'상품정보(1)'!F:F,0))," ")</f>
        <v> </v>
      </c>
      <c r="O173" s="43"/>
      <c r="P173" s="44" t="str">
        <f>IFERROR(INDEX('상품정보(1)'!F:F,MATCH(발주서!O173,'상품정보(1)'!E:E,0))," ")</f>
        <v> </v>
      </c>
      <c r="Q173" s="49"/>
      <c r="R173" s="44">
        <f t="shared" si="10"/>
      </c>
      <c r="S173" s="44"/>
      <c r="T173" s="44">
        <f t="shared" si="11"/>
      </c>
      <c r="U173" s="44"/>
      <c r="V173" s="44"/>
      <c r="W173" s="44"/>
      <c r="X173" s="44"/>
    </row>
    <row r="174" ht="15" customHeight="1" spans="1:24" x14ac:dyDescent="0.25">
      <c r="A174" s="40"/>
      <c r="B174" s="46"/>
      <c r="C174" s="42"/>
      <c r="D174" s="43"/>
      <c r="E174" s="10"/>
      <c r="F174" s="44"/>
      <c r="G174" s="45"/>
      <c r="H174" s="46" t="str">
        <f>IFERROR(VLOOKUP(E174,배송지!A:C,3,0)," ")</f>
        <v> </v>
      </c>
      <c r="I174" s="44"/>
      <c r="J174" s="44" t="str">
        <f>IFERROR(VLOOKUP(E174,배송지!A:C,2,0)," ")</f>
        <v> </v>
      </c>
      <c r="K174" s="44"/>
      <c r="L174" s="44" t="str">
        <f t="shared" si="9"/>
        <v>  </v>
      </c>
      <c r="M174" s="43"/>
      <c r="N174" s="44" t="str">
        <f> IFERROR(INDEX('상품정보(1)'!R:R,MATCH(발주서!P174,'상품정보(1)'!F:F,0))," ")</f>
        <v> </v>
      </c>
      <c r="O174" s="43"/>
      <c r="P174" s="44" t="str">
        <f>IFERROR(INDEX('상품정보(1)'!F:F,MATCH(발주서!O174,'상품정보(1)'!E:E,0))," ")</f>
        <v> </v>
      </c>
      <c r="Q174" s="49"/>
      <c r="R174" s="44">
        <f t="shared" si="10"/>
      </c>
      <c r="S174" s="44"/>
      <c r="T174" s="44">
        <f t="shared" si="11"/>
      </c>
      <c r="U174" s="44"/>
      <c r="V174" s="44"/>
      <c r="W174" s="44"/>
      <c r="X174" s="44"/>
    </row>
    <row r="175" ht="15" customHeight="1" spans="1:24" x14ac:dyDescent="0.25">
      <c r="A175" s="40"/>
      <c r="B175" s="46"/>
      <c r="C175" s="42"/>
      <c r="D175" s="43"/>
      <c r="E175" s="10"/>
      <c r="F175" s="44"/>
      <c r="G175" s="45"/>
      <c r="H175" s="46" t="str">
        <f>IFERROR(VLOOKUP(E175,배송지!A:C,3,0)," ")</f>
        <v> </v>
      </c>
      <c r="I175" s="44"/>
      <c r="J175" s="44" t="str">
        <f>IFERROR(VLOOKUP(E175,배송지!A:C,2,0)," ")</f>
        <v> </v>
      </c>
      <c r="K175" s="44"/>
      <c r="L175" s="44" t="str">
        <f t="shared" si="9"/>
        <v>  </v>
      </c>
      <c r="M175" s="43"/>
      <c r="N175" s="44" t="str">
        <f> IFERROR(INDEX('상품정보(1)'!R:R,MATCH(발주서!P175,'상품정보(1)'!F:F,0))," ")</f>
        <v> </v>
      </c>
      <c r="O175" s="43"/>
      <c r="P175" s="44" t="str">
        <f>IFERROR(INDEX('상품정보(1)'!F:F,MATCH(발주서!O175,'상품정보(1)'!E:E,0))," ")</f>
        <v> </v>
      </c>
      <c r="Q175" s="49"/>
      <c r="R175" s="44">
        <f t="shared" si="10"/>
      </c>
      <c r="S175" s="44"/>
      <c r="T175" s="44">
        <f t="shared" si="11"/>
      </c>
      <c r="U175" s="44"/>
      <c r="V175" s="44"/>
      <c r="W175" s="44"/>
      <c r="X175" s="44"/>
    </row>
    <row r="176" ht="15" customHeight="1" spans="1:24" x14ac:dyDescent="0.25">
      <c r="A176" s="40"/>
      <c r="B176" s="46"/>
      <c r="C176" s="42"/>
      <c r="D176" s="43"/>
      <c r="E176" s="10"/>
      <c r="F176" s="44"/>
      <c r="G176" s="45"/>
      <c r="H176" s="46" t="str">
        <f>IFERROR(VLOOKUP(E176,배송지!A:C,3,0)," ")</f>
        <v> </v>
      </c>
      <c r="I176" s="44"/>
      <c r="J176" s="44" t="str">
        <f>IFERROR(VLOOKUP(E176,배송지!A:C,2,0)," ")</f>
        <v> </v>
      </c>
      <c r="K176" s="44"/>
      <c r="L176" s="44" t="str">
        <f t="shared" si="9"/>
        <v>  </v>
      </c>
      <c r="M176" s="43"/>
      <c r="N176" s="44" t="str">
        <f> IFERROR(INDEX('상품정보(1)'!R:R,MATCH(발주서!P176,'상품정보(1)'!F:F,0))," ")</f>
        <v> </v>
      </c>
      <c r="O176" s="43"/>
      <c r="P176" s="44" t="str">
        <f>IFERROR(INDEX('상품정보(1)'!F:F,MATCH(발주서!O176,'상품정보(1)'!E:E,0))," ")</f>
        <v> </v>
      </c>
      <c r="Q176" s="49"/>
      <c r="R176" s="44">
        <f t="shared" si="10"/>
      </c>
      <c r="S176" s="44"/>
      <c r="T176" s="44">
        <f t="shared" si="11"/>
      </c>
      <c r="U176" s="44"/>
      <c r="V176" s="44"/>
      <c r="W176" s="44"/>
      <c r="X176" s="44"/>
    </row>
    <row r="177" ht="15" customHeight="1" spans="1:24" x14ac:dyDescent="0.25">
      <c r="A177" s="40"/>
      <c r="B177" s="46"/>
      <c r="C177" s="42"/>
      <c r="D177" s="43"/>
      <c r="E177" s="10"/>
      <c r="F177" s="44"/>
      <c r="G177" s="45"/>
      <c r="H177" s="46" t="str">
        <f>IFERROR(VLOOKUP(E177,배송지!A:C,3,0)," ")</f>
        <v> </v>
      </c>
      <c r="I177" s="44"/>
      <c r="J177" s="44" t="str">
        <f>IFERROR(VLOOKUP(E177,배송지!A:C,2,0)," ")</f>
        <v> </v>
      </c>
      <c r="K177" s="44"/>
      <c r="L177" s="44" t="str">
        <f t="shared" si="9"/>
        <v>  </v>
      </c>
      <c r="M177" s="43"/>
      <c r="N177" s="44" t="str">
        <f> IFERROR(INDEX('상품정보(1)'!R:R,MATCH(발주서!P177,'상품정보(1)'!F:F,0))," ")</f>
        <v> </v>
      </c>
      <c r="O177" s="43"/>
      <c r="P177" s="44" t="str">
        <f>IFERROR(INDEX('상품정보(1)'!F:F,MATCH(발주서!O177,'상품정보(1)'!E:E,0))," ")</f>
        <v> </v>
      </c>
      <c r="Q177" s="49"/>
      <c r="R177" s="44">
        <f t="shared" si="10"/>
      </c>
      <c r="S177" s="44"/>
      <c r="T177" s="44">
        <f t="shared" si="11"/>
      </c>
      <c r="U177" s="44"/>
      <c r="V177" s="44"/>
      <c r="W177" s="44"/>
      <c r="X177" s="44"/>
    </row>
    <row r="178" ht="15" customHeight="1" spans="1:24" x14ac:dyDescent="0.25">
      <c r="A178" s="40"/>
      <c r="B178" s="46"/>
      <c r="C178" s="42"/>
      <c r="D178" s="43"/>
      <c r="E178" s="10"/>
      <c r="F178" s="44"/>
      <c r="G178" s="45"/>
      <c r="H178" s="46" t="str">
        <f>IFERROR(VLOOKUP(E178,배송지!A:C,3,0)," ")</f>
        <v> </v>
      </c>
      <c r="I178" s="44"/>
      <c r="J178" s="44" t="str">
        <f>IFERROR(VLOOKUP(E178,배송지!A:C,2,0)," ")</f>
        <v> </v>
      </c>
      <c r="K178" s="44"/>
      <c r="L178" s="44" t="str">
        <f t="shared" si="9"/>
        <v>  </v>
      </c>
      <c r="M178" s="43"/>
      <c r="N178" s="44" t="str">
        <f> IFERROR(INDEX('상품정보(1)'!R:R,MATCH(발주서!P178,'상품정보(1)'!F:F,0))," ")</f>
        <v> </v>
      </c>
      <c r="O178" s="43"/>
      <c r="P178" s="44" t="str">
        <f>IFERROR(INDEX('상품정보(1)'!F:F,MATCH(발주서!O178,'상품정보(1)'!E:E,0))," ")</f>
        <v> </v>
      </c>
      <c r="Q178" s="49"/>
      <c r="R178" s="44">
        <f t="shared" si="10"/>
      </c>
      <c r="S178" s="44"/>
      <c r="T178" s="44">
        <f t="shared" si="11"/>
      </c>
      <c r="U178" s="44"/>
      <c r="V178" s="44"/>
      <c r="W178" s="44"/>
      <c r="X178" s="44"/>
    </row>
    <row r="179" ht="15" customHeight="1" spans="1:24" x14ac:dyDescent="0.25">
      <c r="A179" s="40"/>
      <c r="B179" s="46"/>
      <c r="C179" s="42"/>
      <c r="D179" s="43"/>
      <c r="E179" s="10"/>
      <c r="F179" s="44"/>
      <c r="G179" s="45"/>
      <c r="H179" s="46" t="str">
        <f>IFERROR(VLOOKUP(E179,배송지!A:C,3,0)," ")</f>
        <v> </v>
      </c>
      <c r="I179" s="44"/>
      <c r="J179" s="44" t="str">
        <f>IFERROR(VLOOKUP(E179,배송지!A:C,2,0)," ")</f>
        <v> </v>
      </c>
      <c r="K179" s="44"/>
      <c r="L179" s="44" t="str">
        <f t="shared" si="9"/>
        <v>  </v>
      </c>
      <c r="M179" s="43"/>
      <c r="N179" s="44" t="str">
        <f> IFERROR(INDEX('상품정보(1)'!R:R,MATCH(발주서!P179,'상품정보(1)'!F:F,0))," ")</f>
        <v> </v>
      </c>
      <c r="O179" s="43"/>
      <c r="P179" s="44" t="str">
        <f>IFERROR(INDEX('상품정보(1)'!F:F,MATCH(발주서!O179,'상품정보(1)'!E:E,0))," ")</f>
        <v> </v>
      </c>
      <c r="Q179" s="49"/>
      <c r="R179" s="44">
        <f t="shared" si="10"/>
      </c>
      <c r="S179" s="44"/>
      <c r="T179" s="44">
        <f t="shared" si="11"/>
      </c>
      <c r="U179" s="44"/>
      <c r="V179" s="44"/>
      <c r="W179" s="44"/>
      <c r="X179" s="44"/>
    </row>
    <row r="180" ht="15" customHeight="1" spans="1:24" x14ac:dyDescent="0.25">
      <c r="A180" s="40"/>
      <c r="B180" s="46"/>
      <c r="C180" s="42"/>
      <c r="D180" s="43"/>
      <c r="E180" s="10"/>
      <c r="F180" s="44"/>
      <c r="G180" s="45"/>
      <c r="H180" s="46" t="str">
        <f>IFERROR(VLOOKUP(E180,배송지!A:C,3,0)," ")</f>
        <v> </v>
      </c>
      <c r="I180" s="44"/>
      <c r="J180" s="44" t="str">
        <f>IFERROR(VLOOKUP(E180,배송지!A:C,2,0)," ")</f>
        <v> </v>
      </c>
      <c r="K180" s="44"/>
      <c r="L180" s="44" t="str">
        <f t="shared" si="9"/>
        <v>  </v>
      </c>
      <c r="M180" s="43"/>
      <c r="N180" s="44" t="str">
        <f> IFERROR(INDEX('상품정보(1)'!R:R,MATCH(발주서!P180,'상품정보(1)'!F:F,0))," ")</f>
        <v> </v>
      </c>
      <c r="O180" s="43"/>
      <c r="P180" s="44" t="str">
        <f>IFERROR(INDEX('상품정보(1)'!F:F,MATCH(발주서!O180,'상품정보(1)'!E:E,0))," ")</f>
        <v> </v>
      </c>
      <c r="Q180" s="49"/>
      <c r="R180" s="44">
        <f t="shared" si="10"/>
      </c>
      <c r="S180" s="44"/>
      <c r="T180" s="44">
        <f t="shared" si="11"/>
      </c>
      <c r="U180" s="44"/>
      <c r="V180" s="44"/>
      <c r="W180" s="44"/>
      <c r="X180" s="44"/>
    </row>
    <row r="181" ht="15" customHeight="1" spans="1:24" x14ac:dyDescent="0.25">
      <c r="A181" s="40"/>
      <c r="B181" s="46"/>
      <c r="C181" s="42"/>
      <c r="D181" s="43"/>
      <c r="E181" s="10"/>
      <c r="F181" s="44"/>
      <c r="G181" s="45"/>
      <c r="H181" s="46" t="str">
        <f>IFERROR(VLOOKUP(E181,배송지!A:C,3,0)," ")</f>
        <v> </v>
      </c>
      <c r="I181" s="44"/>
      <c r="J181" s="44" t="str">
        <f>IFERROR(VLOOKUP(E181,배송지!A:C,2,0)," ")</f>
        <v> </v>
      </c>
      <c r="K181" s="44"/>
      <c r="L181" s="44" t="str">
        <f t="shared" si="9"/>
        <v>  </v>
      </c>
      <c r="M181" s="43"/>
      <c r="N181" s="44" t="str">
        <f> IFERROR(INDEX('상품정보(1)'!R:R,MATCH(발주서!P181,'상품정보(1)'!F:F,0))," ")</f>
        <v> </v>
      </c>
      <c r="O181" s="43"/>
      <c r="P181" s="44" t="str">
        <f>IFERROR(INDEX('상품정보(1)'!F:F,MATCH(발주서!O181,'상품정보(1)'!E:E,0))," ")</f>
        <v> </v>
      </c>
      <c r="Q181" s="49"/>
      <c r="R181" s="44">
        <f t="shared" si="10"/>
      </c>
      <c r="S181" s="44"/>
      <c r="T181" s="44">
        <f t="shared" si="11"/>
      </c>
      <c r="U181" s="44"/>
      <c r="V181" s="44"/>
      <c r="W181" s="44"/>
      <c r="X181" s="44"/>
    </row>
    <row r="182" ht="15" customHeight="1" spans="1:24" x14ac:dyDescent="0.25">
      <c r="A182" s="40"/>
      <c r="B182" s="46"/>
      <c r="C182" s="42"/>
      <c r="D182" s="43"/>
      <c r="E182" s="10"/>
      <c r="F182" s="44"/>
      <c r="G182" s="45"/>
      <c r="H182" s="46" t="str">
        <f>IFERROR(VLOOKUP(E182,배송지!A:C,3,0)," ")</f>
        <v> </v>
      </c>
      <c r="I182" s="44"/>
      <c r="J182" s="44" t="str">
        <f>IFERROR(VLOOKUP(E182,배송지!A:C,2,0)," ")</f>
        <v> </v>
      </c>
      <c r="K182" s="44"/>
      <c r="L182" s="44" t="str">
        <f t="shared" si="9"/>
        <v>  </v>
      </c>
      <c r="M182" s="43"/>
      <c r="N182" s="44" t="str">
        <f> IFERROR(INDEX('상품정보(1)'!R:R,MATCH(발주서!P182,'상품정보(1)'!F:F,0))," ")</f>
        <v> </v>
      </c>
      <c r="O182" s="43"/>
      <c r="P182" s="44" t="str">
        <f>IFERROR(INDEX('상품정보(1)'!F:F,MATCH(발주서!O182,'상품정보(1)'!E:E,0))," ")</f>
        <v> </v>
      </c>
      <c r="Q182" s="49"/>
      <c r="R182" s="44">
        <f t="shared" si="10"/>
      </c>
      <c r="S182" s="44"/>
      <c r="T182" s="44">
        <f t="shared" si="11"/>
      </c>
      <c r="U182" s="44"/>
      <c r="V182" s="44"/>
      <c r="W182" s="44"/>
      <c r="X182" s="44"/>
    </row>
    <row r="183" ht="15" customHeight="1" spans="1:24" x14ac:dyDescent="0.25">
      <c r="A183" s="40"/>
      <c r="B183" s="46"/>
      <c r="C183" s="42"/>
      <c r="D183" s="43"/>
      <c r="E183" s="10"/>
      <c r="F183" s="44"/>
      <c r="G183" s="45"/>
      <c r="H183" s="46" t="str">
        <f>IFERROR(VLOOKUP(E183,배송지!A:C,3,0)," ")</f>
        <v> </v>
      </c>
      <c r="I183" s="44"/>
      <c r="J183" s="44" t="str">
        <f>IFERROR(VLOOKUP(E183,배송지!A:C,2,0)," ")</f>
        <v> </v>
      </c>
      <c r="K183" s="44"/>
      <c r="L183" s="44" t="str">
        <f t="shared" si="9"/>
        <v>  </v>
      </c>
      <c r="M183" s="43"/>
      <c r="N183" s="44" t="str">
        <f> IFERROR(INDEX('상품정보(1)'!R:R,MATCH(발주서!P183,'상품정보(1)'!F:F,0))," ")</f>
        <v> </v>
      </c>
      <c r="O183" s="43"/>
      <c r="P183" s="44" t="str">
        <f>IFERROR(INDEX('상품정보(1)'!F:F,MATCH(발주서!O183,'상품정보(1)'!E:E,0))," ")</f>
        <v> </v>
      </c>
      <c r="Q183" s="49"/>
      <c r="R183" s="44">
        <f t="shared" si="10"/>
      </c>
      <c r="S183" s="44"/>
      <c r="T183" s="44">
        <f t="shared" si="11"/>
      </c>
      <c r="U183" s="44"/>
      <c r="V183" s="44"/>
      <c r="W183" s="44"/>
      <c r="X183" s="44"/>
    </row>
    <row r="184" ht="15" customHeight="1" spans="1:24" x14ac:dyDescent="0.25">
      <c r="A184" s="40"/>
      <c r="B184" s="46"/>
      <c r="C184" s="42"/>
      <c r="D184" s="43"/>
      <c r="E184" s="10"/>
      <c r="F184" s="44"/>
      <c r="G184" s="45"/>
      <c r="H184" s="46" t="str">
        <f>IFERROR(VLOOKUP(E184,배송지!A:C,3,0)," ")</f>
        <v> </v>
      </c>
      <c r="I184" s="44"/>
      <c r="J184" s="44" t="str">
        <f>IFERROR(VLOOKUP(E184,배송지!A:C,2,0)," ")</f>
        <v> </v>
      </c>
      <c r="K184" s="44"/>
      <c r="L184" s="44" t="str">
        <f t="shared" si="9"/>
        <v>  </v>
      </c>
      <c r="M184" s="43"/>
      <c r="N184" s="44" t="str">
        <f> IFERROR(INDEX('상품정보(1)'!R:R,MATCH(발주서!P184,'상품정보(1)'!F:F,0))," ")</f>
        <v> </v>
      </c>
      <c r="O184" s="43"/>
      <c r="P184" s="44" t="str">
        <f>IFERROR(INDEX('상품정보(1)'!F:F,MATCH(발주서!O184,'상품정보(1)'!E:E,0))," ")</f>
        <v> </v>
      </c>
      <c r="Q184" s="49"/>
      <c r="R184" s="44">
        <f t="shared" si="10"/>
      </c>
      <c r="S184" s="44"/>
      <c r="T184" s="44">
        <f t="shared" si="11"/>
      </c>
      <c r="U184" s="44"/>
      <c r="V184" s="44"/>
      <c r="W184" s="44"/>
      <c r="X184" s="44"/>
    </row>
    <row r="185" ht="15" customHeight="1" spans="1:24" x14ac:dyDescent="0.25">
      <c r="A185" s="40"/>
      <c r="B185" s="46"/>
      <c r="C185" s="42"/>
      <c r="D185" s="43"/>
      <c r="E185" s="10"/>
      <c r="F185" s="44"/>
      <c r="G185" s="45"/>
      <c r="H185" s="46" t="str">
        <f>IFERROR(VLOOKUP(E185,배송지!A:C,3,0)," ")</f>
        <v> </v>
      </c>
      <c r="I185" s="44"/>
      <c r="J185" s="44" t="str">
        <f>IFERROR(VLOOKUP(E185,배송지!A:C,2,0)," ")</f>
        <v> </v>
      </c>
      <c r="K185" s="44"/>
      <c r="L185" s="44" t="str">
        <f t="shared" si="9"/>
        <v>  </v>
      </c>
      <c r="M185" s="43"/>
      <c r="N185" s="44" t="str">
        <f> IFERROR(INDEX('상품정보(1)'!R:R,MATCH(발주서!P185,'상품정보(1)'!F:F,0))," ")</f>
        <v> </v>
      </c>
      <c r="O185" s="43"/>
      <c r="P185" s="44" t="str">
        <f>IFERROR(INDEX('상품정보(1)'!F:F,MATCH(발주서!O185,'상품정보(1)'!E:E,0))," ")</f>
        <v> </v>
      </c>
      <c r="Q185" s="49"/>
      <c r="R185" s="44">
        <f t="shared" si="10"/>
      </c>
      <c r="S185" s="44"/>
      <c r="T185" s="44">
        <f t="shared" si="11"/>
      </c>
      <c r="U185" s="44"/>
      <c r="V185" s="44"/>
      <c r="W185" s="44"/>
      <c r="X185" s="44"/>
    </row>
    <row r="186" ht="15" customHeight="1" spans="1:24" x14ac:dyDescent="0.25">
      <c r="A186" s="40"/>
      <c r="B186" s="46"/>
      <c r="C186" s="42"/>
      <c r="D186" s="43"/>
      <c r="E186" s="10"/>
      <c r="F186" s="44"/>
      <c r="G186" s="45"/>
      <c r="H186" s="46" t="str">
        <f>IFERROR(VLOOKUP(E186,배송지!A:C,3,0)," ")</f>
        <v> </v>
      </c>
      <c r="I186" s="44"/>
      <c r="J186" s="44" t="str">
        <f>IFERROR(VLOOKUP(E186,배송지!A:C,2,0)," ")</f>
        <v> </v>
      </c>
      <c r="K186" s="44"/>
      <c r="L186" s="44" t="str">
        <f t="shared" si="9"/>
        <v>  </v>
      </c>
      <c r="M186" s="43"/>
      <c r="N186" s="44" t="str">
        <f> IFERROR(INDEX('상품정보(1)'!R:R,MATCH(발주서!P186,'상품정보(1)'!F:F,0))," ")</f>
        <v> </v>
      </c>
      <c r="O186" s="43"/>
      <c r="P186" s="44" t="str">
        <f>IFERROR(INDEX('상품정보(1)'!F:F,MATCH(발주서!O186,'상품정보(1)'!E:E,0))," ")</f>
        <v> </v>
      </c>
      <c r="Q186" s="49"/>
      <c r="R186" s="44">
        <f t="shared" si="10"/>
      </c>
      <c r="S186" s="44"/>
      <c r="T186" s="44">
        <f t="shared" si="11"/>
      </c>
      <c r="U186" s="44"/>
      <c r="V186" s="44"/>
      <c r="W186" s="44"/>
      <c r="X186" s="44"/>
    </row>
    <row r="187" ht="15" customHeight="1" spans="1:24" x14ac:dyDescent="0.25">
      <c r="A187" s="40"/>
      <c r="B187" s="46"/>
      <c r="C187" s="42"/>
      <c r="D187" s="43"/>
      <c r="E187" s="10"/>
      <c r="F187" s="44"/>
      <c r="G187" s="45"/>
      <c r="H187" s="46" t="str">
        <f>IFERROR(VLOOKUP(E187,배송지!A:C,3,0)," ")</f>
        <v> </v>
      </c>
      <c r="I187" s="44"/>
      <c r="J187" s="44" t="str">
        <f>IFERROR(VLOOKUP(E187,배송지!A:C,2,0)," ")</f>
        <v> </v>
      </c>
      <c r="K187" s="44"/>
      <c r="L187" s="44" t="str">
        <f t="shared" si="9"/>
        <v>  </v>
      </c>
      <c r="M187" s="43"/>
      <c r="N187" s="44" t="str">
        <f> IFERROR(INDEX('상품정보(1)'!R:R,MATCH(발주서!P187,'상품정보(1)'!F:F,0))," ")</f>
        <v> </v>
      </c>
      <c r="O187" s="43"/>
      <c r="P187" s="44" t="str">
        <f>IFERROR(INDEX('상품정보(1)'!F:F,MATCH(발주서!O187,'상품정보(1)'!E:E,0))," ")</f>
        <v> </v>
      </c>
      <c r="Q187" s="49"/>
      <c r="R187" s="44">
        <f t="shared" si="10"/>
      </c>
      <c r="S187" s="44"/>
      <c r="T187" s="44">
        <f t="shared" si="11"/>
      </c>
      <c r="U187" s="44"/>
      <c r="V187" s="44"/>
      <c r="W187" s="44"/>
      <c r="X187" s="44"/>
    </row>
    <row r="188" ht="15" customHeight="1" spans="1:24" x14ac:dyDescent="0.25">
      <c r="A188" s="40"/>
      <c r="B188" s="46"/>
      <c r="C188" s="42"/>
      <c r="D188" s="43"/>
      <c r="E188" s="10"/>
      <c r="F188" s="44"/>
      <c r="G188" s="45"/>
      <c r="H188" s="46" t="str">
        <f>IFERROR(VLOOKUP(E188,배송지!A:C,3,0)," ")</f>
        <v> </v>
      </c>
      <c r="I188" s="44"/>
      <c r="J188" s="44" t="str">
        <f>IFERROR(VLOOKUP(E188,배송지!A:C,2,0)," ")</f>
        <v> </v>
      </c>
      <c r="K188" s="44"/>
      <c r="L188" s="44" t="str">
        <f t="shared" si="9"/>
        <v>  </v>
      </c>
      <c r="M188" s="43"/>
      <c r="N188" s="44" t="str">
        <f> IFERROR(INDEX('상품정보(1)'!R:R,MATCH(발주서!P188,'상품정보(1)'!F:F,0))," ")</f>
        <v> </v>
      </c>
      <c r="O188" s="43"/>
      <c r="P188" s="44" t="str">
        <f>IFERROR(INDEX('상품정보(1)'!F:F,MATCH(발주서!O188,'상품정보(1)'!E:E,0))," ")</f>
        <v> </v>
      </c>
      <c r="Q188" s="49"/>
      <c r="R188" s="44">
        <f t="shared" si="10"/>
      </c>
      <c r="S188" s="44"/>
      <c r="T188" s="44">
        <f t="shared" si="11"/>
      </c>
      <c r="U188" s="44"/>
      <c r="V188" s="44"/>
      <c r="W188" s="44"/>
      <c r="X188" s="44"/>
    </row>
    <row r="189" ht="15" customHeight="1" spans="1:24" x14ac:dyDescent="0.25">
      <c r="A189" s="40"/>
      <c r="B189" s="46"/>
      <c r="C189" s="42"/>
      <c r="D189" s="43"/>
      <c r="E189" s="10"/>
      <c r="F189" s="44"/>
      <c r="G189" s="45"/>
      <c r="H189" s="46" t="str">
        <f>IFERROR(VLOOKUP(E189,배송지!A:C,3,0)," ")</f>
        <v> </v>
      </c>
      <c r="I189" s="44"/>
      <c r="J189" s="44" t="str">
        <f>IFERROR(VLOOKUP(E189,배송지!A:C,2,0)," ")</f>
        <v> </v>
      </c>
      <c r="K189" s="44"/>
      <c r="L189" s="44" t="str">
        <f t="shared" si="9"/>
        <v>  </v>
      </c>
      <c r="M189" s="43"/>
      <c r="N189" s="44" t="str">
        <f> IFERROR(INDEX('상품정보(1)'!R:R,MATCH(발주서!P189,'상품정보(1)'!F:F,0))," ")</f>
        <v> </v>
      </c>
      <c r="O189" s="43"/>
      <c r="P189" s="44" t="str">
        <f>IFERROR(INDEX('상품정보(1)'!F:F,MATCH(발주서!O189,'상품정보(1)'!E:E,0))," ")</f>
        <v> </v>
      </c>
      <c r="Q189" s="49"/>
      <c r="R189" s="44">
        <f t="shared" si="10"/>
      </c>
      <c r="S189" s="44"/>
      <c r="T189" s="44">
        <f t="shared" si="11"/>
      </c>
      <c r="U189" s="44"/>
      <c r="V189" s="44"/>
      <c r="W189" s="44"/>
      <c r="X189" s="44"/>
    </row>
    <row r="190" ht="15" customHeight="1" spans="1:24" x14ac:dyDescent="0.25">
      <c r="A190" s="40"/>
      <c r="B190" s="46"/>
      <c r="C190" s="42"/>
      <c r="D190" s="43"/>
      <c r="E190" s="10"/>
      <c r="F190" s="44"/>
      <c r="G190" s="45"/>
      <c r="H190" s="46" t="str">
        <f>IFERROR(VLOOKUP(E190,배송지!A:C,3,0)," ")</f>
        <v> </v>
      </c>
      <c r="I190" s="44"/>
      <c r="J190" s="44" t="str">
        <f>IFERROR(VLOOKUP(E190,배송지!A:C,2,0)," ")</f>
        <v> </v>
      </c>
      <c r="K190" s="44"/>
      <c r="L190" s="44" t="str">
        <f t="shared" si="9"/>
        <v>  </v>
      </c>
      <c r="M190" s="43"/>
      <c r="N190" s="44" t="str">
        <f> IFERROR(INDEX('상품정보(1)'!R:R,MATCH(발주서!P190,'상품정보(1)'!F:F,0))," ")</f>
        <v> </v>
      </c>
      <c r="O190" s="43"/>
      <c r="P190" s="44" t="str">
        <f>IFERROR(INDEX('상품정보(1)'!F:F,MATCH(발주서!O190,'상품정보(1)'!E:E,0))," ")</f>
        <v> </v>
      </c>
      <c r="Q190" s="49"/>
      <c r="R190" s="44">
        <f t="shared" si="10"/>
      </c>
      <c r="S190" s="44"/>
      <c r="T190" s="44">
        <f t="shared" si="11"/>
      </c>
      <c r="U190" s="44"/>
      <c r="V190" s="44"/>
      <c r="W190" s="44"/>
      <c r="X190" s="44"/>
    </row>
    <row r="191" ht="15" customHeight="1" spans="1:24" x14ac:dyDescent="0.25">
      <c r="A191" s="40"/>
      <c r="B191" s="46"/>
      <c r="C191" s="42"/>
      <c r="D191" s="43"/>
      <c r="E191" s="10"/>
      <c r="F191" s="44"/>
      <c r="G191" s="45"/>
      <c r="H191" s="46" t="str">
        <f>IFERROR(VLOOKUP(E191,배송지!A:C,3,0)," ")</f>
        <v> </v>
      </c>
      <c r="I191" s="44"/>
      <c r="J191" s="44" t="str">
        <f>IFERROR(VLOOKUP(E191,배송지!A:C,2,0)," ")</f>
        <v> </v>
      </c>
      <c r="K191" s="44"/>
      <c r="L191" s="44" t="str">
        <f t="shared" si="9"/>
        <v>  </v>
      </c>
      <c r="M191" s="43"/>
      <c r="N191" s="44" t="str">
        <f> IFERROR(INDEX('상품정보(1)'!R:R,MATCH(발주서!P191,'상품정보(1)'!F:F,0))," ")</f>
        <v> </v>
      </c>
      <c r="O191" s="43"/>
      <c r="P191" s="44" t="str">
        <f>IFERROR(INDEX('상품정보(1)'!F:F,MATCH(발주서!O191,'상품정보(1)'!E:E,0))," ")</f>
        <v> </v>
      </c>
      <c r="Q191" s="49"/>
      <c r="R191" s="44">
        <f t="shared" si="10"/>
      </c>
      <c r="S191" s="44"/>
      <c r="T191" s="44">
        <f t="shared" si="11"/>
      </c>
      <c r="U191" s="44"/>
      <c r="V191" s="44"/>
      <c r="W191" s="44"/>
      <c r="X191" s="44"/>
    </row>
    <row r="192" ht="15" customHeight="1" spans="1:24" x14ac:dyDescent="0.25">
      <c r="A192" s="40"/>
      <c r="B192" s="46"/>
      <c r="C192" s="42"/>
      <c r="D192" s="43"/>
      <c r="E192" s="10"/>
      <c r="F192" s="44"/>
      <c r="G192" s="45"/>
      <c r="H192" s="46" t="str">
        <f>IFERROR(VLOOKUP(E192,배송지!A:C,3,0)," ")</f>
        <v> </v>
      </c>
      <c r="I192" s="44"/>
      <c r="J192" s="44" t="str">
        <f>IFERROR(VLOOKUP(E192,배송지!A:C,2,0)," ")</f>
        <v> </v>
      </c>
      <c r="K192" s="44"/>
      <c r="L192" s="44" t="str">
        <f t="shared" si="9"/>
        <v>  </v>
      </c>
      <c r="M192" s="43"/>
      <c r="N192" s="44" t="str">
        <f> IFERROR(INDEX('상품정보(1)'!R:R,MATCH(발주서!P192,'상품정보(1)'!F:F,0))," ")</f>
        <v> </v>
      </c>
      <c r="O192" s="43"/>
      <c r="P192" s="44" t="str">
        <f>IFERROR(INDEX('상품정보(1)'!F:F,MATCH(발주서!O192,'상품정보(1)'!E:E,0))," ")</f>
        <v> </v>
      </c>
      <c r="Q192" s="49"/>
      <c r="R192" s="44">
        <f t="shared" si="10"/>
      </c>
      <c r="S192" s="44"/>
      <c r="T192" s="44">
        <f t="shared" si="11"/>
      </c>
      <c r="U192" s="44"/>
      <c r="V192" s="44"/>
      <c r="W192" s="44"/>
      <c r="X192" s="44"/>
    </row>
    <row r="193" ht="15" customHeight="1" spans="1:24" x14ac:dyDescent="0.25">
      <c r="A193" s="40"/>
      <c r="B193" s="46"/>
      <c r="C193" s="42"/>
      <c r="D193" s="43"/>
      <c r="E193" s="10"/>
      <c r="F193" s="44"/>
      <c r="G193" s="45"/>
      <c r="H193" s="46" t="str">
        <f>IFERROR(VLOOKUP(E193,배송지!A:C,3,0)," ")</f>
        <v> </v>
      </c>
      <c r="I193" s="44"/>
      <c r="J193" s="44" t="str">
        <f>IFERROR(VLOOKUP(E193,배송지!A:C,2,0)," ")</f>
        <v> </v>
      </c>
      <c r="K193" s="44"/>
      <c r="L193" s="44" t="str">
        <f t="shared" si="9"/>
        <v>  </v>
      </c>
      <c r="M193" s="43"/>
      <c r="N193" s="44" t="str">
        <f> IFERROR(INDEX('상품정보(1)'!R:R,MATCH(발주서!P193,'상품정보(1)'!F:F,0))," ")</f>
        <v> </v>
      </c>
      <c r="O193" s="43"/>
      <c r="P193" s="44" t="str">
        <f>IFERROR(INDEX('상품정보(1)'!F:F,MATCH(발주서!O193,'상품정보(1)'!E:E,0))," ")</f>
        <v> </v>
      </c>
      <c r="Q193" s="49"/>
      <c r="R193" s="44">
        <f t="shared" si="10"/>
      </c>
      <c r="S193" s="44"/>
      <c r="T193" s="44">
        <f t="shared" si="11"/>
      </c>
      <c r="U193" s="44"/>
      <c r="V193" s="44"/>
      <c r="W193" s="44"/>
      <c r="X193" s="44"/>
    </row>
    <row r="194" ht="15" customHeight="1" spans="1:24" x14ac:dyDescent="0.25">
      <c r="A194" s="40"/>
      <c r="B194" s="46"/>
      <c r="C194" s="42"/>
      <c r="D194" s="43"/>
      <c r="E194" s="10"/>
      <c r="F194" s="44"/>
      <c r="G194" s="45"/>
      <c r="H194" s="46" t="str">
        <f>IFERROR(VLOOKUP(E194,배송지!A:C,3,0)," ")</f>
        <v> </v>
      </c>
      <c r="I194" s="44"/>
      <c r="J194" s="44" t="str">
        <f>IFERROR(VLOOKUP(E194,배송지!A:C,2,0)," ")</f>
        <v> </v>
      </c>
      <c r="K194" s="44"/>
      <c r="L194" s="44" t="str">
        <f t="shared" ref="L194:L257" si="12">O194&amp;" "&amp;P194</f>
        <v>  </v>
      </c>
      <c r="M194" s="43"/>
      <c r="N194" s="44" t="str">
        <f> IFERROR(INDEX('상품정보(1)'!R:R,MATCH(발주서!P194,'상품정보(1)'!F:F,0))," ")</f>
        <v> </v>
      </c>
      <c r="O194" s="43"/>
      <c r="P194" s="44" t="str">
        <f>IFERROR(INDEX('상품정보(1)'!F:F,MATCH(발주서!O194,'상품정보(1)'!E:E,0))," ")</f>
        <v> </v>
      </c>
      <c r="Q194" s="49"/>
      <c r="R194" s="44">
        <f t="shared" ref="R194:R257" si="13">LEFT(T194,8)</f>
      </c>
      <c r="S194" s="44"/>
      <c r="T194" s="44">
        <f t="shared" ref="T194:T257" si="14">IF(Q194="","",Q194)</f>
      </c>
      <c r="U194" s="44"/>
      <c r="V194" s="44"/>
      <c r="W194" s="44"/>
      <c r="X194" s="44"/>
    </row>
    <row r="195" ht="15" customHeight="1" spans="1:24" x14ac:dyDescent="0.25">
      <c r="A195" s="40"/>
      <c r="B195" s="46"/>
      <c r="C195" s="42"/>
      <c r="D195" s="43"/>
      <c r="E195" s="10"/>
      <c r="F195" s="44"/>
      <c r="G195" s="45"/>
      <c r="H195" s="46" t="str">
        <f>IFERROR(VLOOKUP(E195,배송지!A:C,3,0)," ")</f>
        <v> </v>
      </c>
      <c r="I195" s="44"/>
      <c r="J195" s="44" t="str">
        <f>IFERROR(VLOOKUP(E195,배송지!A:C,2,0)," ")</f>
        <v> </v>
      </c>
      <c r="K195" s="44"/>
      <c r="L195" s="44" t="str">
        <f t="shared" si="12"/>
        <v>  </v>
      </c>
      <c r="M195" s="43"/>
      <c r="N195" s="44" t="str">
        <f> IFERROR(INDEX('상품정보(1)'!R:R,MATCH(발주서!P195,'상품정보(1)'!F:F,0))," ")</f>
        <v> </v>
      </c>
      <c r="O195" s="43"/>
      <c r="P195" s="44" t="str">
        <f>IFERROR(INDEX('상품정보(1)'!F:F,MATCH(발주서!O195,'상품정보(1)'!E:E,0))," ")</f>
        <v> </v>
      </c>
      <c r="Q195" s="49"/>
      <c r="R195" s="44">
        <f t="shared" si="13"/>
      </c>
      <c r="S195" s="44"/>
      <c r="T195" s="44">
        <f t="shared" si="14"/>
      </c>
      <c r="U195" s="44"/>
      <c r="V195" s="44"/>
      <c r="W195" s="44"/>
      <c r="X195" s="44"/>
    </row>
    <row r="196" ht="15" customHeight="1" spans="1:24" x14ac:dyDescent="0.25">
      <c r="A196" s="40"/>
      <c r="B196" s="46"/>
      <c r="C196" s="42"/>
      <c r="D196" s="43"/>
      <c r="E196" s="10"/>
      <c r="F196" s="44"/>
      <c r="G196" s="45"/>
      <c r="H196" s="46" t="str">
        <f>IFERROR(VLOOKUP(E196,배송지!A:C,3,0)," ")</f>
        <v> </v>
      </c>
      <c r="I196" s="44"/>
      <c r="J196" s="44" t="str">
        <f>IFERROR(VLOOKUP(E196,배송지!A:C,2,0)," ")</f>
        <v> </v>
      </c>
      <c r="K196" s="44"/>
      <c r="L196" s="44" t="str">
        <f t="shared" si="12"/>
        <v>  </v>
      </c>
      <c r="M196" s="43"/>
      <c r="N196" s="44" t="str">
        <f> IFERROR(INDEX('상품정보(1)'!R:R,MATCH(발주서!P196,'상품정보(1)'!F:F,0))," ")</f>
        <v> </v>
      </c>
      <c r="O196" s="43"/>
      <c r="P196" s="44" t="str">
        <f>IFERROR(INDEX('상품정보(1)'!F:F,MATCH(발주서!O196,'상품정보(1)'!E:E,0))," ")</f>
        <v> </v>
      </c>
      <c r="Q196" s="49"/>
      <c r="R196" s="44">
        <f t="shared" si="13"/>
      </c>
      <c r="S196" s="44"/>
      <c r="T196" s="44">
        <f t="shared" si="14"/>
      </c>
      <c r="U196" s="44"/>
      <c r="V196" s="44"/>
      <c r="W196" s="44"/>
      <c r="X196" s="44"/>
    </row>
    <row r="197" ht="15" customHeight="1" spans="1:24" x14ac:dyDescent="0.25">
      <c r="A197" s="40"/>
      <c r="B197" s="46"/>
      <c r="C197" s="42"/>
      <c r="D197" s="43"/>
      <c r="E197" s="10"/>
      <c r="F197" s="44"/>
      <c r="G197" s="45"/>
      <c r="H197" s="46" t="str">
        <f>IFERROR(VLOOKUP(E197,배송지!A:C,3,0)," ")</f>
        <v> </v>
      </c>
      <c r="I197" s="44"/>
      <c r="J197" s="44" t="str">
        <f>IFERROR(VLOOKUP(E197,배송지!A:C,2,0)," ")</f>
        <v> </v>
      </c>
      <c r="K197" s="44"/>
      <c r="L197" s="44" t="str">
        <f t="shared" si="12"/>
        <v>  </v>
      </c>
      <c r="M197" s="43"/>
      <c r="N197" s="44" t="str">
        <f> IFERROR(INDEX('상품정보(1)'!R:R,MATCH(발주서!P197,'상품정보(1)'!F:F,0))," ")</f>
        <v> </v>
      </c>
      <c r="O197" s="43"/>
      <c r="P197" s="44" t="str">
        <f>IFERROR(INDEX('상품정보(1)'!F:F,MATCH(발주서!O197,'상품정보(1)'!E:E,0))," ")</f>
        <v> </v>
      </c>
      <c r="Q197" s="49"/>
      <c r="R197" s="44">
        <f t="shared" si="13"/>
      </c>
      <c r="S197" s="44"/>
      <c r="T197" s="44">
        <f t="shared" si="14"/>
      </c>
      <c r="U197" s="44"/>
      <c r="V197" s="44"/>
      <c r="W197" s="44"/>
      <c r="X197" s="44"/>
    </row>
    <row r="198" ht="15" customHeight="1" spans="1:24" x14ac:dyDescent="0.25">
      <c r="A198" s="40"/>
      <c r="B198" s="46"/>
      <c r="C198" s="42"/>
      <c r="D198" s="43"/>
      <c r="E198" s="10"/>
      <c r="F198" s="44"/>
      <c r="G198" s="45"/>
      <c r="H198" s="46" t="str">
        <f>IFERROR(VLOOKUP(E198,배송지!A:C,3,0)," ")</f>
        <v> </v>
      </c>
      <c r="I198" s="44"/>
      <c r="J198" s="44" t="str">
        <f>IFERROR(VLOOKUP(E198,배송지!A:C,2,0)," ")</f>
        <v> </v>
      </c>
      <c r="K198" s="44"/>
      <c r="L198" s="44" t="str">
        <f t="shared" si="12"/>
        <v>  </v>
      </c>
      <c r="M198" s="43"/>
      <c r="N198" s="44" t="str">
        <f> IFERROR(INDEX('상품정보(1)'!R:R,MATCH(발주서!P198,'상품정보(1)'!F:F,0))," ")</f>
        <v> </v>
      </c>
      <c r="O198" s="43"/>
      <c r="P198" s="44" t="str">
        <f>IFERROR(INDEX('상품정보(1)'!F:F,MATCH(발주서!O198,'상품정보(1)'!E:E,0))," ")</f>
        <v> </v>
      </c>
      <c r="Q198" s="49"/>
      <c r="R198" s="44">
        <f t="shared" si="13"/>
      </c>
      <c r="S198" s="44"/>
      <c r="T198" s="44">
        <f t="shared" si="14"/>
      </c>
      <c r="U198" s="44"/>
      <c r="V198" s="44"/>
      <c r="W198" s="44"/>
      <c r="X198" s="44"/>
    </row>
    <row r="199" ht="15" customHeight="1" spans="1:24" x14ac:dyDescent="0.25">
      <c r="A199" s="40"/>
      <c r="B199" s="46"/>
      <c r="C199" s="42"/>
      <c r="D199" s="43"/>
      <c r="E199" s="10"/>
      <c r="F199" s="44"/>
      <c r="G199" s="45"/>
      <c r="H199" s="46" t="str">
        <f>IFERROR(VLOOKUP(E199,배송지!A:C,3,0)," ")</f>
        <v> </v>
      </c>
      <c r="I199" s="44"/>
      <c r="J199" s="44" t="str">
        <f>IFERROR(VLOOKUP(E199,배송지!A:C,2,0)," ")</f>
        <v> </v>
      </c>
      <c r="K199" s="44"/>
      <c r="L199" s="44" t="str">
        <f t="shared" si="12"/>
        <v>  </v>
      </c>
      <c r="M199" s="43"/>
      <c r="N199" s="44" t="str">
        <f> IFERROR(INDEX('상품정보(1)'!R:R,MATCH(발주서!P199,'상품정보(1)'!F:F,0))," ")</f>
        <v> </v>
      </c>
      <c r="O199" s="43"/>
      <c r="P199" s="44" t="str">
        <f>IFERROR(INDEX('상품정보(1)'!F:F,MATCH(발주서!O199,'상품정보(1)'!E:E,0))," ")</f>
        <v> </v>
      </c>
      <c r="Q199" s="49"/>
      <c r="R199" s="44">
        <f t="shared" si="13"/>
      </c>
      <c r="S199" s="44"/>
      <c r="T199" s="44">
        <f t="shared" si="14"/>
      </c>
      <c r="U199" s="44"/>
      <c r="V199" s="44"/>
      <c r="W199" s="44"/>
      <c r="X199" s="44"/>
    </row>
    <row r="200" ht="15" customHeight="1" spans="1:24" x14ac:dyDescent="0.25">
      <c r="A200" s="40"/>
      <c r="B200" s="46"/>
      <c r="C200" s="42"/>
      <c r="D200" s="43"/>
      <c r="E200" s="10"/>
      <c r="F200" s="44"/>
      <c r="G200" s="45"/>
      <c r="H200" s="46" t="str">
        <f>IFERROR(VLOOKUP(E200,배송지!A:C,3,0)," ")</f>
        <v> </v>
      </c>
      <c r="I200" s="44"/>
      <c r="J200" s="44" t="str">
        <f>IFERROR(VLOOKUP(E200,배송지!A:C,2,0)," ")</f>
        <v> </v>
      </c>
      <c r="K200" s="44"/>
      <c r="L200" s="44" t="str">
        <f t="shared" si="12"/>
        <v>  </v>
      </c>
      <c r="M200" s="43"/>
      <c r="N200" s="44" t="str">
        <f> IFERROR(INDEX('상품정보(1)'!R:R,MATCH(발주서!P200,'상품정보(1)'!F:F,0))," ")</f>
        <v> </v>
      </c>
      <c r="O200" s="43"/>
      <c r="P200" s="44" t="str">
        <f>IFERROR(INDEX('상품정보(1)'!F:F,MATCH(발주서!O200,'상품정보(1)'!E:E,0))," ")</f>
        <v> </v>
      </c>
      <c r="Q200" s="49"/>
      <c r="R200" s="44">
        <f t="shared" si="13"/>
      </c>
      <c r="S200" s="44"/>
      <c r="T200" s="44">
        <f t="shared" si="14"/>
      </c>
      <c r="U200" s="44"/>
      <c r="V200" s="44"/>
      <c r="W200" s="44"/>
      <c r="X200" s="44"/>
    </row>
    <row r="201" ht="15" customHeight="1" spans="1:24" x14ac:dyDescent="0.25">
      <c r="A201" s="40"/>
      <c r="B201" s="46"/>
      <c r="C201" s="42"/>
      <c r="D201" s="43"/>
      <c r="E201" s="10"/>
      <c r="F201" s="44"/>
      <c r="G201" s="45"/>
      <c r="H201" s="46" t="str">
        <f>IFERROR(VLOOKUP(E201,배송지!A:C,3,0)," ")</f>
        <v> </v>
      </c>
      <c r="I201" s="44"/>
      <c r="J201" s="44" t="str">
        <f>IFERROR(VLOOKUP(E201,배송지!A:C,2,0)," ")</f>
        <v> </v>
      </c>
      <c r="K201" s="44"/>
      <c r="L201" s="44" t="str">
        <f t="shared" si="12"/>
        <v>  </v>
      </c>
      <c r="M201" s="43"/>
      <c r="N201" s="44" t="str">
        <f> IFERROR(INDEX('상품정보(1)'!R:R,MATCH(발주서!P201,'상품정보(1)'!F:F,0))," ")</f>
        <v> </v>
      </c>
      <c r="O201" s="43"/>
      <c r="P201" s="44" t="str">
        <f>IFERROR(INDEX('상품정보(1)'!F:F,MATCH(발주서!O201,'상품정보(1)'!E:E,0))," ")</f>
        <v> </v>
      </c>
      <c r="Q201" s="49"/>
      <c r="R201" s="44">
        <f t="shared" si="13"/>
      </c>
      <c r="S201" s="44"/>
      <c r="T201" s="44">
        <f t="shared" si="14"/>
      </c>
      <c r="U201" s="44"/>
      <c r="V201" s="44"/>
      <c r="W201" s="44"/>
      <c r="X201" s="44"/>
    </row>
    <row r="202" ht="15" customHeight="1" spans="1:24" x14ac:dyDescent="0.25">
      <c r="A202" s="40"/>
      <c r="B202" s="46"/>
      <c r="C202" s="42"/>
      <c r="D202" s="43"/>
      <c r="E202" s="10"/>
      <c r="F202" s="44"/>
      <c r="G202" s="45"/>
      <c r="H202" s="46" t="str">
        <f>IFERROR(VLOOKUP(E202,배송지!A:C,3,0)," ")</f>
        <v> </v>
      </c>
      <c r="I202" s="44"/>
      <c r="J202" s="44" t="str">
        <f>IFERROR(VLOOKUP(E202,배송지!A:C,2,0)," ")</f>
        <v> </v>
      </c>
      <c r="K202" s="44"/>
      <c r="L202" s="44" t="str">
        <f t="shared" si="12"/>
        <v>  </v>
      </c>
      <c r="M202" s="43"/>
      <c r="N202" s="44" t="str">
        <f> IFERROR(INDEX('상품정보(1)'!R:R,MATCH(발주서!P202,'상품정보(1)'!F:F,0))," ")</f>
        <v> </v>
      </c>
      <c r="O202" s="43"/>
      <c r="P202" s="44" t="str">
        <f>IFERROR(INDEX('상품정보(1)'!F:F,MATCH(발주서!O202,'상품정보(1)'!E:E,0))," ")</f>
        <v> </v>
      </c>
      <c r="Q202" s="49"/>
      <c r="R202" s="44">
        <f t="shared" si="13"/>
      </c>
      <c r="S202" s="44"/>
      <c r="T202" s="44">
        <f t="shared" si="14"/>
      </c>
      <c r="U202" s="44"/>
      <c r="V202" s="44"/>
      <c r="W202" s="44"/>
      <c r="X202" s="44"/>
    </row>
    <row r="203" ht="15" customHeight="1" spans="1:24" x14ac:dyDescent="0.25">
      <c r="A203" s="40"/>
      <c r="B203" s="46"/>
      <c r="C203" s="42"/>
      <c r="D203" s="43"/>
      <c r="E203" s="10"/>
      <c r="F203" s="44"/>
      <c r="G203" s="45"/>
      <c r="H203" s="46" t="str">
        <f>IFERROR(VLOOKUP(E203,배송지!A:C,3,0)," ")</f>
        <v> </v>
      </c>
      <c r="I203" s="44"/>
      <c r="J203" s="44" t="str">
        <f>IFERROR(VLOOKUP(E203,배송지!A:C,2,0)," ")</f>
        <v> </v>
      </c>
      <c r="K203" s="44"/>
      <c r="L203" s="44" t="str">
        <f t="shared" si="12"/>
        <v>  </v>
      </c>
      <c r="M203" s="43"/>
      <c r="N203" s="44" t="str">
        <f> IFERROR(INDEX('상품정보(1)'!R:R,MATCH(발주서!P203,'상품정보(1)'!F:F,0))," ")</f>
        <v> </v>
      </c>
      <c r="O203" s="43"/>
      <c r="P203" s="44" t="str">
        <f>IFERROR(INDEX('상품정보(1)'!F:F,MATCH(발주서!O203,'상품정보(1)'!E:E,0))," ")</f>
        <v> </v>
      </c>
      <c r="Q203" s="49"/>
      <c r="R203" s="44">
        <f t="shared" si="13"/>
      </c>
      <c r="S203" s="44"/>
      <c r="T203" s="44">
        <f t="shared" si="14"/>
      </c>
      <c r="U203" s="44"/>
      <c r="V203" s="44"/>
      <c r="W203" s="44"/>
      <c r="X203" s="44"/>
    </row>
    <row r="204" ht="15" customHeight="1" spans="1:24" x14ac:dyDescent="0.25">
      <c r="A204" s="40"/>
      <c r="B204" s="46"/>
      <c r="C204" s="42"/>
      <c r="D204" s="43"/>
      <c r="E204" s="10"/>
      <c r="F204" s="44"/>
      <c r="G204" s="45"/>
      <c r="H204" s="46" t="str">
        <f>IFERROR(VLOOKUP(E204,배송지!A:C,3,0)," ")</f>
        <v> </v>
      </c>
      <c r="I204" s="44"/>
      <c r="J204" s="44" t="str">
        <f>IFERROR(VLOOKUP(E204,배송지!A:C,2,0)," ")</f>
        <v> </v>
      </c>
      <c r="K204" s="44"/>
      <c r="L204" s="44" t="str">
        <f t="shared" si="12"/>
        <v>  </v>
      </c>
      <c r="M204" s="43"/>
      <c r="N204" s="44" t="str">
        <f> IFERROR(INDEX('상품정보(1)'!R:R,MATCH(발주서!P204,'상품정보(1)'!F:F,0))," ")</f>
        <v> </v>
      </c>
      <c r="O204" s="43"/>
      <c r="P204" s="44" t="str">
        <f>IFERROR(INDEX('상품정보(1)'!F:F,MATCH(발주서!O204,'상품정보(1)'!E:E,0))," ")</f>
        <v> </v>
      </c>
      <c r="Q204" s="49"/>
      <c r="R204" s="44">
        <f t="shared" si="13"/>
      </c>
      <c r="S204" s="44"/>
      <c r="T204" s="44">
        <f t="shared" si="14"/>
      </c>
      <c r="U204" s="44"/>
      <c r="V204" s="44"/>
      <c r="W204" s="44"/>
      <c r="X204" s="44"/>
    </row>
    <row r="205" ht="15" customHeight="1" spans="1:24" x14ac:dyDescent="0.25">
      <c r="A205" s="40"/>
      <c r="B205" s="46"/>
      <c r="C205" s="42"/>
      <c r="D205" s="43"/>
      <c r="E205" s="10"/>
      <c r="F205" s="44"/>
      <c r="G205" s="45"/>
      <c r="H205" s="46" t="str">
        <f>IFERROR(VLOOKUP(E205,배송지!A:C,3,0)," ")</f>
        <v> </v>
      </c>
      <c r="I205" s="44"/>
      <c r="J205" s="44" t="str">
        <f>IFERROR(VLOOKUP(E205,배송지!A:C,2,0)," ")</f>
        <v> </v>
      </c>
      <c r="K205" s="44"/>
      <c r="L205" s="44" t="str">
        <f t="shared" si="12"/>
        <v>  </v>
      </c>
      <c r="M205" s="43"/>
      <c r="N205" s="44" t="str">
        <f> IFERROR(INDEX('상품정보(1)'!R:R,MATCH(발주서!P205,'상품정보(1)'!F:F,0))," ")</f>
        <v> </v>
      </c>
      <c r="O205" s="43"/>
      <c r="P205" s="44" t="str">
        <f>IFERROR(INDEX('상품정보(1)'!F:F,MATCH(발주서!O205,'상품정보(1)'!E:E,0))," ")</f>
        <v> </v>
      </c>
      <c r="Q205" s="49"/>
      <c r="R205" s="44">
        <f t="shared" si="13"/>
      </c>
      <c r="S205" s="44"/>
      <c r="T205" s="44">
        <f t="shared" si="14"/>
      </c>
      <c r="U205" s="44"/>
      <c r="V205" s="44"/>
      <c r="W205" s="44"/>
      <c r="X205" s="44"/>
    </row>
    <row r="206" ht="15" customHeight="1" spans="1:24" x14ac:dyDescent="0.25">
      <c r="A206" s="40"/>
      <c r="B206" s="46"/>
      <c r="C206" s="42"/>
      <c r="D206" s="43"/>
      <c r="E206" s="10"/>
      <c r="F206" s="44"/>
      <c r="G206" s="45"/>
      <c r="H206" s="46" t="str">
        <f>IFERROR(VLOOKUP(E206,배송지!A:C,3,0)," ")</f>
        <v> </v>
      </c>
      <c r="I206" s="44"/>
      <c r="J206" s="44" t="str">
        <f>IFERROR(VLOOKUP(E206,배송지!A:C,2,0)," ")</f>
        <v> </v>
      </c>
      <c r="K206" s="44"/>
      <c r="L206" s="44" t="str">
        <f t="shared" si="12"/>
        <v>  </v>
      </c>
      <c r="M206" s="43"/>
      <c r="N206" s="44" t="str">
        <f> IFERROR(INDEX('상품정보(1)'!R:R,MATCH(발주서!P206,'상품정보(1)'!F:F,0))," ")</f>
        <v> </v>
      </c>
      <c r="O206" s="43"/>
      <c r="P206" s="44" t="str">
        <f>IFERROR(INDEX('상품정보(1)'!F:F,MATCH(발주서!O206,'상품정보(1)'!E:E,0))," ")</f>
        <v> </v>
      </c>
      <c r="Q206" s="49"/>
      <c r="R206" s="44">
        <f t="shared" si="13"/>
      </c>
      <c r="S206" s="44"/>
      <c r="T206" s="44">
        <f t="shared" si="14"/>
      </c>
      <c r="U206" s="44"/>
      <c r="V206" s="44"/>
      <c r="W206" s="44"/>
      <c r="X206" s="44"/>
    </row>
    <row r="207" ht="15" customHeight="1" spans="1:24" x14ac:dyDescent="0.25">
      <c r="A207" s="40"/>
      <c r="B207" s="46"/>
      <c r="C207" s="42"/>
      <c r="D207" s="43"/>
      <c r="E207" s="10"/>
      <c r="F207" s="44"/>
      <c r="G207" s="45"/>
      <c r="H207" s="46" t="str">
        <f>IFERROR(VLOOKUP(E207,배송지!A:C,3,0)," ")</f>
        <v> </v>
      </c>
      <c r="I207" s="44"/>
      <c r="J207" s="44" t="str">
        <f>IFERROR(VLOOKUP(E207,배송지!A:C,2,0)," ")</f>
        <v> </v>
      </c>
      <c r="K207" s="44"/>
      <c r="L207" s="44" t="str">
        <f t="shared" si="12"/>
        <v>  </v>
      </c>
      <c r="M207" s="43"/>
      <c r="N207" s="44" t="str">
        <f> IFERROR(INDEX('상품정보(1)'!R:R,MATCH(발주서!P207,'상품정보(1)'!F:F,0))," ")</f>
        <v> </v>
      </c>
      <c r="O207" s="43"/>
      <c r="P207" s="44" t="str">
        <f>IFERROR(INDEX('상품정보(1)'!F:F,MATCH(발주서!O207,'상품정보(1)'!E:E,0))," ")</f>
        <v> </v>
      </c>
      <c r="Q207" s="49"/>
      <c r="R207" s="44">
        <f t="shared" si="13"/>
      </c>
      <c r="S207" s="44"/>
      <c r="T207" s="44">
        <f t="shared" si="14"/>
      </c>
      <c r="U207" s="44"/>
      <c r="V207" s="44"/>
      <c r="W207" s="44"/>
      <c r="X207" s="44"/>
    </row>
    <row r="208" ht="15" customHeight="1" spans="1:24" x14ac:dyDescent="0.25">
      <c r="A208" s="40"/>
      <c r="B208" s="46"/>
      <c r="C208" s="42"/>
      <c r="D208" s="43"/>
      <c r="E208" s="10"/>
      <c r="F208" s="44"/>
      <c r="G208" s="45"/>
      <c r="H208" s="46" t="str">
        <f>IFERROR(VLOOKUP(E208,배송지!A:C,3,0)," ")</f>
        <v> </v>
      </c>
      <c r="I208" s="44"/>
      <c r="J208" s="44" t="str">
        <f>IFERROR(VLOOKUP(E208,배송지!A:C,2,0)," ")</f>
        <v> </v>
      </c>
      <c r="K208" s="44"/>
      <c r="L208" s="44" t="str">
        <f t="shared" si="12"/>
        <v>  </v>
      </c>
      <c r="M208" s="43"/>
      <c r="N208" s="44" t="str">
        <f> IFERROR(INDEX('상품정보(1)'!R:R,MATCH(발주서!P208,'상품정보(1)'!F:F,0))," ")</f>
        <v> </v>
      </c>
      <c r="O208" s="43"/>
      <c r="P208" s="44" t="str">
        <f>IFERROR(INDEX('상품정보(1)'!F:F,MATCH(발주서!O208,'상품정보(1)'!E:E,0))," ")</f>
        <v> </v>
      </c>
      <c r="Q208" s="49"/>
      <c r="R208" s="44">
        <f t="shared" si="13"/>
      </c>
      <c r="S208" s="44"/>
      <c r="T208" s="44">
        <f t="shared" si="14"/>
      </c>
      <c r="U208" s="44"/>
      <c r="V208" s="44"/>
      <c r="W208" s="44"/>
      <c r="X208" s="44"/>
    </row>
    <row r="209" ht="15" customHeight="1" spans="1:24" x14ac:dyDescent="0.25">
      <c r="A209" s="40"/>
      <c r="B209" s="46"/>
      <c r="C209" s="42"/>
      <c r="D209" s="43"/>
      <c r="E209" s="10"/>
      <c r="F209" s="44"/>
      <c r="G209" s="45"/>
      <c r="H209" s="46" t="str">
        <f>IFERROR(VLOOKUP(E209,배송지!A:C,3,0)," ")</f>
        <v> </v>
      </c>
      <c r="I209" s="44"/>
      <c r="J209" s="44" t="str">
        <f>IFERROR(VLOOKUP(E209,배송지!A:C,2,0)," ")</f>
        <v> </v>
      </c>
      <c r="K209" s="44"/>
      <c r="L209" s="44" t="str">
        <f t="shared" si="12"/>
        <v>  </v>
      </c>
      <c r="M209" s="43"/>
      <c r="N209" s="44" t="str">
        <f> IFERROR(INDEX('상품정보(1)'!R:R,MATCH(발주서!P209,'상품정보(1)'!F:F,0))," ")</f>
        <v> </v>
      </c>
      <c r="O209" s="43"/>
      <c r="P209" s="44" t="str">
        <f>IFERROR(INDEX('상품정보(1)'!F:F,MATCH(발주서!O209,'상품정보(1)'!E:E,0))," ")</f>
        <v> </v>
      </c>
      <c r="Q209" s="49"/>
      <c r="R209" s="44">
        <f t="shared" si="13"/>
      </c>
      <c r="S209" s="44"/>
      <c r="T209" s="44">
        <f t="shared" si="14"/>
      </c>
      <c r="U209" s="44"/>
      <c r="V209" s="44"/>
      <c r="W209" s="44"/>
      <c r="X209" s="44"/>
    </row>
    <row r="210" ht="15" customHeight="1" spans="1:24" x14ac:dyDescent="0.25">
      <c r="A210" s="40"/>
      <c r="B210" s="46"/>
      <c r="C210" s="42"/>
      <c r="D210" s="43"/>
      <c r="E210" s="10"/>
      <c r="F210" s="44"/>
      <c r="G210" s="45"/>
      <c r="H210" s="46" t="str">
        <f>IFERROR(VLOOKUP(E210,배송지!A:C,3,0)," ")</f>
        <v> </v>
      </c>
      <c r="I210" s="44"/>
      <c r="J210" s="44" t="str">
        <f>IFERROR(VLOOKUP(E210,배송지!A:C,2,0)," ")</f>
        <v> </v>
      </c>
      <c r="K210" s="44"/>
      <c r="L210" s="44" t="str">
        <f t="shared" si="12"/>
        <v>  </v>
      </c>
      <c r="M210" s="43"/>
      <c r="N210" s="44" t="str">
        <f> IFERROR(INDEX('상품정보(1)'!R:R,MATCH(발주서!P210,'상품정보(1)'!F:F,0))," ")</f>
        <v> </v>
      </c>
      <c r="O210" s="43"/>
      <c r="P210" s="44" t="str">
        <f>IFERROR(INDEX('상품정보(1)'!F:F,MATCH(발주서!O210,'상품정보(1)'!E:E,0))," ")</f>
        <v> </v>
      </c>
      <c r="Q210" s="49"/>
      <c r="R210" s="44">
        <f t="shared" si="13"/>
      </c>
      <c r="S210" s="44"/>
      <c r="T210" s="44">
        <f t="shared" si="14"/>
      </c>
      <c r="U210" s="44"/>
      <c r="V210" s="44"/>
      <c r="W210" s="44"/>
      <c r="X210" s="44"/>
    </row>
    <row r="211" ht="15" customHeight="1" spans="1:24" x14ac:dyDescent="0.25">
      <c r="A211" s="40"/>
      <c r="B211" s="46"/>
      <c r="C211" s="42"/>
      <c r="D211" s="43"/>
      <c r="E211" s="10"/>
      <c r="F211" s="44"/>
      <c r="G211" s="45"/>
      <c r="H211" s="46" t="str">
        <f>IFERROR(VLOOKUP(E211,배송지!A:C,3,0)," ")</f>
        <v> </v>
      </c>
      <c r="I211" s="44"/>
      <c r="J211" s="44" t="str">
        <f>IFERROR(VLOOKUP(E211,배송지!A:C,2,0)," ")</f>
        <v> </v>
      </c>
      <c r="K211" s="44"/>
      <c r="L211" s="44" t="str">
        <f t="shared" si="12"/>
        <v>  </v>
      </c>
      <c r="M211" s="43"/>
      <c r="N211" s="44" t="str">
        <f> IFERROR(INDEX('상품정보(1)'!R:R,MATCH(발주서!P211,'상품정보(1)'!F:F,0))," ")</f>
        <v> </v>
      </c>
      <c r="O211" s="43"/>
      <c r="P211" s="44" t="str">
        <f>IFERROR(INDEX('상품정보(1)'!F:F,MATCH(발주서!O211,'상품정보(1)'!E:E,0))," ")</f>
        <v> </v>
      </c>
      <c r="Q211" s="49"/>
      <c r="R211" s="44">
        <f t="shared" si="13"/>
      </c>
      <c r="S211" s="44"/>
      <c r="T211" s="44">
        <f t="shared" si="14"/>
      </c>
      <c r="U211" s="44"/>
      <c r="V211" s="44"/>
      <c r="W211" s="44"/>
      <c r="X211" s="44"/>
    </row>
    <row r="212" ht="15" customHeight="1" spans="1:24" x14ac:dyDescent="0.25">
      <c r="A212" s="40"/>
      <c r="B212" s="46"/>
      <c r="C212" s="42"/>
      <c r="D212" s="43"/>
      <c r="E212" s="10"/>
      <c r="F212" s="44"/>
      <c r="G212" s="45"/>
      <c r="H212" s="46" t="str">
        <f>IFERROR(VLOOKUP(E212,배송지!A:C,3,0)," ")</f>
        <v> </v>
      </c>
      <c r="I212" s="44"/>
      <c r="J212" s="44" t="str">
        <f>IFERROR(VLOOKUP(E212,배송지!A:C,2,0)," ")</f>
        <v> </v>
      </c>
      <c r="K212" s="44"/>
      <c r="L212" s="44" t="str">
        <f t="shared" si="12"/>
        <v>  </v>
      </c>
      <c r="M212" s="43"/>
      <c r="N212" s="44" t="str">
        <f> IFERROR(INDEX('상품정보(1)'!R:R,MATCH(발주서!P212,'상품정보(1)'!F:F,0))," ")</f>
        <v> </v>
      </c>
      <c r="O212" s="43"/>
      <c r="P212" s="44" t="str">
        <f>IFERROR(INDEX('상품정보(1)'!F:F,MATCH(발주서!O212,'상품정보(1)'!E:E,0))," ")</f>
        <v> </v>
      </c>
      <c r="Q212" s="49"/>
      <c r="R212" s="44">
        <f t="shared" si="13"/>
      </c>
      <c r="S212" s="44"/>
      <c r="T212" s="44">
        <f t="shared" si="14"/>
      </c>
      <c r="U212" s="44"/>
      <c r="V212" s="44"/>
      <c r="W212" s="44"/>
      <c r="X212" s="44"/>
    </row>
    <row r="213" ht="15" customHeight="1" spans="1:24" x14ac:dyDescent="0.25">
      <c r="A213" s="40"/>
      <c r="B213" s="46"/>
      <c r="C213" s="42"/>
      <c r="D213" s="43"/>
      <c r="E213" s="10"/>
      <c r="F213" s="44"/>
      <c r="G213" s="45"/>
      <c r="H213" s="46" t="str">
        <f>IFERROR(VLOOKUP(E213,배송지!A:C,3,0)," ")</f>
        <v> </v>
      </c>
      <c r="I213" s="44"/>
      <c r="J213" s="44" t="str">
        <f>IFERROR(VLOOKUP(E213,배송지!A:C,2,0)," ")</f>
        <v> </v>
      </c>
      <c r="K213" s="44"/>
      <c r="L213" s="44" t="str">
        <f t="shared" si="12"/>
        <v>  </v>
      </c>
      <c r="M213" s="43"/>
      <c r="N213" s="44" t="str">
        <f> IFERROR(INDEX('상품정보(1)'!R:R,MATCH(발주서!P213,'상품정보(1)'!F:F,0))," ")</f>
        <v> </v>
      </c>
      <c r="O213" s="43"/>
      <c r="P213" s="44" t="str">
        <f>IFERROR(INDEX('상품정보(1)'!F:F,MATCH(발주서!O213,'상품정보(1)'!E:E,0))," ")</f>
        <v> </v>
      </c>
      <c r="Q213" s="49"/>
      <c r="R213" s="44">
        <f t="shared" si="13"/>
      </c>
      <c r="S213" s="44"/>
      <c r="T213" s="44">
        <f t="shared" si="14"/>
      </c>
      <c r="U213" s="44"/>
      <c r="V213" s="44"/>
      <c r="W213" s="44"/>
      <c r="X213" s="44"/>
    </row>
    <row r="214" ht="15" customHeight="1" spans="1:24" x14ac:dyDescent="0.25">
      <c r="A214" s="40"/>
      <c r="B214" s="46"/>
      <c r="C214" s="42"/>
      <c r="D214" s="43"/>
      <c r="E214" s="10"/>
      <c r="F214" s="44"/>
      <c r="G214" s="45"/>
      <c r="H214" s="46" t="str">
        <f>IFERROR(VLOOKUP(E214,배송지!A:C,3,0)," ")</f>
        <v> </v>
      </c>
      <c r="I214" s="44"/>
      <c r="J214" s="44" t="str">
        <f>IFERROR(VLOOKUP(E214,배송지!A:C,2,0)," ")</f>
        <v> </v>
      </c>
      <c r="K214" s="44"/>
      <c r="L214" s="44" t="str">
        <f t="shared" si="12"/>
        <v>  </v>
      </c>
      <c r="M214" s="43"/>
      <c r="N214" s="44" t="str">
        <f> IFERROR(INDEX('상품정보(1)'!R:R,MATCH(발주서!P214,'상품정보(1)'!F:F,0))," ")</f>
        <v> </v>
      </c>
      <c r="O214" s="43"/>
      <c r="P214" s="44" t="str">
        <f>IFERROR(INDEX('상품정보(1)'!F:F,MATCH(발주서!O214,'상품정보(1)'!E:E,0))," ")</f>
        <v> </v>
      </c>
      <c r="Q214" s="49"/>
      <c r="R214" s="44">
        <f t="shared" si="13"/>
      </c>
      <c r="S214" s="44"/>
      <c r="T214" s="44">
        <f t="shared" si="14"/>
      </c>
      <c r="U214" s="44"/>
      <c r="V214" s="44"/>
      <c r="W214" s="44"/>
      <c r="X214" s="44"/>
    </row>
    <row r="215" ht="15" customHeight="1" spans="1:24" x14ac:dyDescent="0.25">
      <c r="A215" s="40"/>
      <c r="B215" s="46"/>
      <c r="C215" s="42"/>
      <c r="D215" s="43"/>
      <c r="E215" s="10"/>
      <c r="F215" s="44"/>
      <c r="G215" s="45"/>
      <c r="H215" s="46" t="str">
        <f>IFERROR(VLOOKUP(E215,배송지!A:C,3,0)," ")</f>
        <v> </v>
      </c>
      <c r="I215" s="44"/>
      <c r="J215" s="44" t="str">
        <f>IFERROR(VLOOKUP(E215,배송지!A:C,2,0)," ")</f>
        <v> </v>
      </c>
      <c r="K215" s="44"/>
      <c r="L215" s="44" t="str">
        <f t="shared" si="12"/>
        <v>  </v>
      </c>
      <c r="M215" s="43"/>
      <c r="N215" s="44" t="str">
        <f> IFERROR(INDEX('상품정보(1)'!R:R,MATCH(발주서!P215,'상품정보(1)'!F:F,0))," ")</f>
        <v> </v>
      </c>
      <c r="O215" s="43"/>
      <c r="P215" s="44" t="str">
        <f>IFERROR(INDEX('상품정보(1)'!F:F,MATCH(발주서!O215,'상품정보(1)'!E:E,0))," ")</f>
        <v> </v>
      </c>
      <c r="Q215" s="49"/>
      <c r="R215" s="44">
        <f t="shared" si="13"/>
      </c>
      <c r="S215" s="44"/>
      <c r="T215" s="44">
        <f t="shared" si="14"/>
      </c>
      <c r="U215" s="44"/>
      <c r="V215" s="44"/>
      <c r="W215" s="44"/>
      <c r="X215" s="44"/>
    </row>
    <row r="216" ht="15" customHeight="1" spans="1:24" x14ac:dyDescent="0.25">
      <c r="A216" s="40"/>
      <c r="B216" s="46"/>
      <c r="C216" s="42"/>
      <c r="D216" s="43"/>
      <c r="E216" s="10"/>
      <c r="F216" s="44"/>
      <c r="G216" s="45"/>
      <c r="H216" s="46" t="str">
        <f>IFERROR(VLOOKUP(E216,배송지!A:C,3,0)," ")</f>
        <v> </v>
      </c>
      <c r="I216" s="44"/>
      <c r="J216" s="44" t="str">
        <f>IFERROR(VLOOKUP(E216,배송지!A:C,2,0)," ")</f>
        <v> </v>
      </c>
      <c r="K216" s="44"/>
      <c r="L216" s="44" t="str">
        <f t="shared" si="12"/>
        <v>  </v>
      </c>
      <c r="M216" s="43"/>
      <c r="N216" s="44" t="str">
        <f> IFERROR(INDEX('상품정보(1)'!R:R,MATCH(발주서!P216,'상품정보(1)'!F:F,0))," ")</f>
        <v> </v>
      </c>
      <c r="O216" s="43"/>
      <c r="P216" s="44" t="str">
        <f>IFERROR(INDEX('상품정보(1)'!F:F,MATCH(발주서!O216,'상품정보(1)'!E:E,0))," ")</f>
        <v> </v>
      </c>
      <c r="Q216" s="49"/>
      <c r="R216" s="44">
        <f t="shared" si="13"/>
      </c>
      <c r="S216" s="44"/>
      <c r="T216" s="44">
        <f t="shared" si="14"/>
      </c>
      <c r="U216" s="44"/>
      <c r="V216" s="44"/>
      <c r="W216" s="44"/>
      <c r="X216" s="44"/>
    </row>
    <row r="217" ht="15" customHeight="1" spans="1:24" x14ac:dyDescent="0.25">
      <c r="A217" s="40"/>
      <c r="B217" s="46"/>
      <c r="C217" s="42"/>
      <c r="D217" s="43"/>
      <c r="E217" s="10"/>
      <c r="F217" s="44"/>
      <c r="G217" s="45"/>
      <c r="H217" s="46" t="str">
        <f>IFERROR(VLOOKUP(E217,배송지!A:C,3,0)," ")</f>
        <v> </v>
      </c>
      <c r="I217" s="44"/>
      <c r="J217" s="44" t="str">
        <f>IFERROR(VLOOKUP(E217,배송지!A:C,2,0)," ")</f>
        <v> </v>
      </c>
      <c r="K217" s="44"/>
      <c r="L217" s="44" t="str">
        <f t="shared" si="12"/>
        <v>  </v>
      </c>
      <c r="M217" s="43"/>
      <c r="N217" s="44" t="str">
        <f> IFERROR(INDEX('상품정보(1)'!R:R,MATCH(발주서!P217,'상품정보(1)'!F:F,0))," ")</f>
        <v> </v>
      </c>
      <c r="O217" s="43"/>
      <c r="P217" s="44" t="str">
        <f>IFERROR(INDEX('상품정보(1)'!F:F,MATCH(발주서!O217,'상품정보(1)'!E:E,0))," ")</f>
        <v> </v>
      </c>
      <c r="Q217" s="49"/>
      <c r="R217" s="44">
        <f t="shared" si="13"/>
      </c>
      <c r="S217" s="44"/>
      <c r="T217" s="44">
        <f t="shared" si="14"/>
      </c>
      <c r="U217" s="44"/>
      <c r="V217" s="44"/>
      <c r="W217" s="44"/>
      <c r="X217" s="44"/>
    </row>
    <row r="218" ht="15" customHeight="1" spans="1:24" x14ac:dyDescent="0.25">
      <c r="A218" s="40"/>
      <c r="B218" s="46"/>
      <c r="C218" s="42"/>
      <c r="D218" s="43"/>
      <c r="E218" s="10"/>
      <c r="F218" s="44"/>
      <c r="G218" s="45"/>
      <c r="H218" s="46" t="str">
        <f>IFERROR(VLOOKUP(E218,배송지!A:C,3,0)," ")</f>
        <v> </v>
      </c>
      <c r="I218" s="44"/>
      <c r="J218" s="44" t="str">
        <f>IFERROR(VLOOKUP(E218,배송지!A:C,2,0)," ")</f>
        <v> </v>
      </c>
      <c r="K218" s="44"/>
      <c r="L218" s="44" t="str">
        <f t="shared" si="12"/>
        <v>  </v>
      </c>
      <c r="M218" s="43"/>
      <c r="N218" s="44" t="str">
        <f> IFERROR(INDEX('상품정보(1)'!R:R,MATCH(발주서!P218,'상품정보(1)'!F:F,0))," ")</f>
        <v> </v>
      </c>
      <c r="O218" s="43"/>
      <c r="P218" s="44" t="str">
        <f>IFERROR(INDEX('상품정보(1)'!F:F,MATCH(발주서!O218,'상품정보(1)'!E:E,0))," ")</f>
        <v> </v>
      </c>
      <c r="Q218" s="49"/>
      <c r="R218" s="44">
        <f t="shared" si="13"/>
      </c>
      <c r="S218" s="44"/>
      <c r="T218" s="44">
        <f t="shared" si="14"/>
      </c>
      <c r="U218" s="44"/>
      <c r="V218" s="44"/>
      <c r="W218" s="44"/>
      <c r="X218" s="44"/>
    </row>
    <row r="219" ht="15" customHeight="1" spans="1:24" x14ac:dyDescent="0.25">
      <c r="A219" s="40"/>
      <c r="B219" s="46"/>
      <c r="C219" s="42"/>
      <c r="D219" s="43"/>
      <c r="E219" s="10"/>
      <c r="F219" s="44"/>
      <c r="G219" s="45"/>
      <c r="H219" s="46" t="str">
        <f>IFERROR(VLOOKUP(E219,배송지!A:C,3,0)," ")</f>
        <v> </v>
      </c>
      <c r="I219" s="44"/>
      <c r="J219" s="44" t="str">
        <f>IFERROR(VLOOKUP(E219,배송지!A:C,2,0)," ")</f>
        <v> </v>
      </c>
      <c r="K219" s="44"/>
      <c r="L219" s="44" t="str">
        <f t="shared" si="12"/>
        <v>  </v>
      </c>
      <c r="M219" s="43"/>
      <c r="N219" s="44" t="str">
        <f> IFERROR(INDEX('상품정보(1)'!R:R,MATCH(발주서!P219,'상품정보(1)'!F:F,0))," ")</f>
        <v> </v>
      </c>
      <c r="O219" s="43"/>
      <c r="P219" s="44" t="str">
        <f>IFERROR(INDEX('상품정보(1)'!F:F,MATCH(발주서!O219,'상품정보(1)'!E:E,0))," ")</f>
        <v> </v>
      </c>
      <c r="Q219" s="49"/>
      <c r="R219" s="44">
        <f t="shared" si="13"/>
      </c>
      <c r="S219" s="44"/>
      <c r="T219" s="44">
        <f t="shared" si="14"/>
      </c>
      <c r="U219" s="44"/>
      <c r="V219" s="44"/>
      <c r="W219" s="44"/>
      <c r="X219" s="44"/>
    </row>
    <row r="220" ht="15" customHeight="1" spans="1:24" x14ac:dyDescent="0.25">
      <c r="A220" s="40"/>
      <c r="B220" s="46"/>
      <c r="C220" s="42"/>
      <c r="D220" s="43"/>
      <c r="E220" s="10"/>
      <c r="F220" s="44"/>
      <c r="G220" s="45"/>
      <c r="H220" s="46" t="str">
        <f>IFERROR(VLOOKUP(E220,배송지!A:C,3,0)," ")</f>
        <v> </v>
      </c>
      <c r="I220" s="44"/>
      <c r="J220" s="44" t="str">
        <f>IFERROR(VLOOKUP(E220,배송지!A:C,2,0)," ")</f>
        <v> </v>
      </c>
      <c r="K220" s="44"/>
      <c r="L220" s="44" t="str">
        <f t="shared" si="12"/>
        <v>  </v>
      </c>
      <c r="M220" s="43"/>
      <c r="N220" s="44" t="str">
        <f> IFERROR(INDEX('상품정보(1)'!R:R,MATCH(발주서!P220,'상품정보(1)'!F:F,0))," ")</f>
        <v> </v>
      </c>
      <c r="O220" s="43"/>
      <c r="P220" s="44" t="str">
        <f>IFERROR(INDEX('상품정보(1)'!F:F,MATCH(발주서!O220,'상품정보(1)'!E:E,0))," ")</f>
        <v> </v>
      </c>
      <c r="Q220" s="49"/>
      <c r="R220" s="44">
        <f t="shared" si="13"/>
      </c>
      <c r="S220" s="44"/>
      <c r="T220" s="44">
        <f t="shared" si="14"/>
      </c>
      <c r="U220" s="44"/>
      <c r="V220" s="44"/>
      <c r="W220" s="44"/>
      <c r="X220" s="44"/>
    </row>
    <row r="221" ht="15" customHeight="1" spans="1:24" x14ac:dyDescent="0.25">
      <c r="A221" s="40"/>
      <c r="B221" s="46"/>
      <c r="C221" s="42"/>
      <c r="D221" s="43"/>
      <c r="E221" s="10"/>
      <c r="F221" s="44"/>
      <c r="G221" s="45"/>
      <c r="H221" s="46" t="str">
        <f>IFERROR(VLOOKUP(E221,배송지!A:C,3,0)," ")</f>
        <v> </v>
      </c>
      <c r="I221" s="44"/>
      <c r="J221" s="44" t="str">
        <f>IFERROR(VLOOKUP(E221,배송지!A:C,2,0)," ")</f>
        <v> </v>
      </c>
      <c r="K221" s="44"/>
      <c r="L221" s="44" t="str">
        <f t="shared" si="12"/>
        <v>  </v>
      </c>
      <c r="M221" s="43"/>
      <c r="N221" s="44" t="str">
        <f> IFERROR(INDEX('상품정보(1)'!R:R,MATCH(발주서!P221,'상품정보(1)'!F:F,0))," ")</f>
        <v> </v>
      </c>
      <c r="O221" s="43"/>
      <c r="P221" s="44" t="str">
        <f>IFERROR(INDEX('상품정보(1)'!F:F,MATCH(발주서!O221,'상품정보(1)'!E:E,0))," ")</f>
        <v> </v>
      </c>
      <c r="Q221" s="49"/>
      <c r="R221" s="44">
        <f t="shared" si="13"/>
      </c>
      <c r="S221" s="44"/>
      <c r="T221" s="44">
        <f t="shared" si="14"/>
      </c>
      <c r="U221" s="44"/>
      <c r="V221" s="44"/>
      <c r="W221" s="44"/>
      <c r="X221" s="44"/>
    </row>
    <row r="222" ht="15" customHeight="1" spans="1:24" x14ac:dyDescent="0.25">
      <c r="A222" s="40"/>
      <c r="B222" s="46"/>
      <c r="C222" s="42"/>
      <c r="D222" s="43"/>
      <c r="E222" s="10"/>
      <c r="F222" s="44"/>
      <c r="G222" s="45"/>
      <c r="H222" s="46" t="str">
        <f>IFERROR(VLOOKUP(E222,배송지!A:C,3,0)," ")</f>
        <v> </v>
      </c>
      <c r="I222" s="44"/>
      <c r="J222" s="44" t="str">
        <f>IFERROR(VLOOKUP(E222,배송지!A:C,2,0)," ")</f>
        <v> </v>
      </c>
      <c r="K222" s="44"/>
      <c r="L222" s="44" t="str">
        <f t="shared" si="12"/>
        <v>  </v>
      </c>
      <c r="M222" s="43"/>
      <c r="N222" s="44" t="str">
        <f> IFERROR(INDEX('상품정보(1)'!R:R,MATCH(발주서!P222,'상품정보(1)'!F:F,0))," ")</f>
        <v> </v>
      </c>
      <c r="O222" s="43"/>
      <c r="P222" s="44" t="str">
        <f>IFERROR(INDEX('상품정보(1)'!F:F,MATCH(발주서!O222,'상품정보(1)'!E:E,0))," ")</f>
        <v> </v>
      </c>
      <c r="Q222" s="49"/>
      <c r="R222" s="44">
        <f t="shared" si="13"/>
      </c>
      <c r="S222" s="44"/>
      <c r="T222" s="44">
        <f t="shared" si="14"/>
      </c>
      <c r="U222" s="44"/>
      <c r="V222" s="44"/>
      <c r="W222" s="44"/>
      <c r="X222" s="44"/>
    </row>
    <row r="223" ht="15" customHeight="1" spans="1:24" x14ac:dyDescent="0.25">
      <c r="A223" s="40"/>
      <c r="B223" s="46"/>
      <c r="C223" s="42"/>
      <c r="D223" s="43"/>
      <c r="E223" s="10"/>
      <c r="F223" s="44"/>
      <c r="G223" s="45"/>
      <c r="H223" s="46" t="str">
        <f>IFERROR(VLOOKUP(E223,배송지!A:C,3,0)," ")</f>
        <v> </v>
      </c>
      <c r="I223" s="44"/>
      <c r="J223" s="44" t="str">
        <f>IFERROR(VLOOKUP(E223,배송지!A:C,2,0)," ")</f>
        <v> </v>
      </c>
      <c r="K223" s="44"/>
      <c r="L223" s="44" t="str">
        <f t="shared" si="12"/>
        <v>  </v>
      </c>
      <c r="M223" s="43"/>
      <c r="N223" s="44" t="str">
        <f> IFERROR(INDEX('상품정보(1)'!R:R,MATCH(발주서!P223,'상품정보(1)'!F:F,0))," ")</f>
        <v> </v>
      </c>
      <c r="O223" s="43"/>
      <c r="P223" s="44" t="str">
        <f>IFERROR(INDEX('상품정보(1)'!F:F,MATCH(발주서!O223,'상품정보(1)'!E:E,0))," ")</f>
        <v> </v>
      </c>
      <c r="Q223" s="49"/>
      <c r="R223" s="44">
        <f t="shared" si="13"/>
      </c>
      <c r="S223" s="44"/>
      <c r="T223" s="44">
        <f t="shared" si="14"/>
      </c>
      <c r="U223" s="44"/>
      <c r="V223" s="44"/>
      <c r="W223" s="44"/>
      <c r="X223" s="44"/>
    </row>
    <row r="224" ht="15" customHeight="1" spans="1:24" x14ac:dyDescent="0.25">
      <c r="A224" s="40"/>
      <c r="B224" s="46"/>
      <c r="C224" s="42"/>
      <c r="D224" s="43"/>
      <c r="E224" s="10"/>
      <c r="F224" s="44"/>
      <c r="G224" s="45"/>
      <c r="H224" s="46" t="str">
        <f>IFERROR(VLOOKUP(E224,배송지!A:C,3,0)," ")</f>
        <v> </v>
      </c>
      <c r="I224" s="44"/>
      <c r="J224" s="44" t="str">
        <f>IFERROR(VLOOKUP(E224,배송지!A:C,2,0)," ")</f>
        <v> </v>
      </c>
      <c r="K224" s="44"/>
      <c r="L224" s="44" t="str">
        <f t="shared" si="12"/>
        <v>  </v>
      </c>
      <c r="M224" s="43"/>
      <c r="N224" s="44" t="str">
        <f> IFERROR(INDEX('상품정보(1)'!R:R,MATCH(발주서!P224,'상품정보(1)'!F:F,0))," ")</f>
        <v> </v>
      </c>
      <c r="O224" s="43"/>
      <c r="P224" s="44" t="str">
        <f>IFERROR(INDEX('상품정보(1)'!F:F,MATCH(발주서!O224,'상품정보(1)'!E:E,0))," ")</f>
        <v> </v>
      </c>
      <c r="Q224" s="49"/>
      <c r="R224" s="44">
        <f t="shared" si="13"/>
      </c>
      <c r="S224" s="44"/>
      <c r="T224" s="44">
        <f t="shared" si="14"/>
      </c>
      <c r="U224" s="44"/>
      <c r="V224" s="44"/>
      <c r="W224" s="44"/>
      <c r="X224" s="44"/>
    </row>
    <row r="225" ht="15" customHeight="1" spans="1:24" x14ac:dyDescent="0.25">
      <c r="A225" s="40"/>
      <c r="B225" s="46"/>
      <c r="C225" s="42"/>
      <c r="D225" s="43"/>
      <c r="E225" s="10"/>
      <c r="F225" s="44"/>
      <c r="G225" s="45"/>
      <c r="H225" s="46" t="str">
        <f>IFERROR(VLOOKUP(E225,배송지!A:C,3,0)," ")</f>
        <v> </v>
      </c>
      <c r="I225" s="44"/>
      <c r="J225" s="44" t="str">
        <f>IFERROR(VLOOKUP(E225,배송지!A:C,2,0)," ")</f>
        <v> </v>
      </c>
      <c r="K225" s="44"/>
      <c r="L225" s="44" t="str">
        <f t="shared" si="12"/>
        <v>  </v>
      </c>
      <c r="M225" s="43"/>
      <c r="N225" s="44" t="str">
        <f> IFERROR(INDEX('상품정보(1)'!R:R,MATCH(발주서!P225,'상품정보(1)'!F:F,0))," ")</f>
        <v> </v>
      </c>
      <c r="O225" s="43"/>
      <c r="P225" s="44" t="str">
        <f>IFERROR(INDEX('상품정보(1)'!F:F,MATCH(발주서!O225,'상품정보(1)'!E:E,0))," ")</f>
        <v> </v>
      </c>
      <c r="Q225" s="49"/>
      <c r="R225" s="44">
        <f t="shared" si="13"/>
      </c>
      <c r="S225" s="44"/>
      <c r="T225" s="44">
        <f t="shared" si="14"/>
      </c>
      <c r="U225" s="44"/>
      <c r="V225" s="44"/>
      <c r="W225" s="44"/>
      <c r="X225" s="44"/>
    </row>
    <row r="226" ht="15" customHeight="1" spans="1:24" x14ac:dyDescent="0.25">
      <c r="A226" s="40"/>
      <c r="B226" s="46"/>
      <c r="C226" s="42"/>
      <c r="D226" s="43"/>
      <c r="E226" s="10"/>
      <c r="F226" s="44"/>
      <c r="G226" s="45"/>
      <c r="H226" s="46" t="str">
        <f>IFERROR(VLOOKUP(E226,배송지!A:C,3,0)," ")</f>
        <v> </v>
      </c>
      <c r="I226" s="44"/>
      <c r="J226" s="44" t="str">
        <f>IFERROR(VLOOKUP(E226,배송지!A:C,2,0)," ")</f>
        <v> </v>
      </c>
      <c r="K226" s="44"/>
      <c r="L226" s="44" t="str">
        <f t="shared" si="12"/>
        <v>  </v>
      </c>
      <c r="M226" s="43"/>
      <c r="N226" s="44" t="str">
        <f> IFERROR(INDEX('상품정보(1)'!R:R,MATCH(발주서!P226,'상품정보(1)'!F:F,0))," ")</f>
        <v> </v>
      </c>
      <c r="O226" s="43"/>
      <c r="P226" s="44" t="str">
        <f>IFERROR(INDEX('상품정보(1)'!F:F,MATCH(발주서!O226,'상품정보(1)'!E:E,0))," ")</f>
        <v> </v>
      </c>
      <c r="Q226" s="49"/>
      <c r="R226" s="44">
        <f t="shared" si="13"/>
      </c>
      <c r="S226" s="44"/>
      <c r="T226" s="44">
        <f t="shared" si="14"/>
      </c>
      <c r="U226" s="44"/>
      <c r="V226" s="44"/>
      <c r="W226" s="44"/>
      <c r="X226" s="44"/>
    </row>
    <row r="227" ht="15" customHeight="1" spans="1:24" x14ac:dyDescent="0.25">
      <c r="A227" s="40"/>
      <c r="B227" s="46"/>
      <c r="C227" s="42"/>
      <c r="D227" s="43"/>
      <c r="E227" s="10"/>
      <c r="F227" s="44"/>
      <c r="G227" s="45"/>
      <c r="H227" s="46" t="str">
        <f>IFERROR(VLOOKUP(E227,배송지!A:C,3,0)," ")</f>
        <v> </v>
      </c>
      <c r="I227" s="44"/>
      <c r="J227" s="44" t="str">
        <f>IFERROR(VLOOKUP(E227,배송지!A:C,2,0)," ")</f>
        <v> </v>
      </c>
      <c r="K227" s="44"/>
      <c r="L227" s="44" t="str">
        <f t="shared" si="12"/>
        <v>  </v>
      </c>
      <c r="M227" s="43"/>
      <c r="N227" s="44" t="str">
        <f> IFERROR(INDEX('상품정보(1)'!R:R,MATCH(발주서!P227,'상품정보(1)'!F:F,0))," ")</f>
        <v> </v>
      </c>
      <c r="O227" s="43"/>
      <c r="P227" s="44" t="str">
        <f>IFERROR(INDEX('상품정보(1)'!F:F,MATCH(발주서!O227,'상품정보(1)'!E:E,0))," ")</f>
        <v> </v>
      </c>
      <c r="Q227" s="49"/>
      <c r="R227" s="44">
        <f t="shared" si="13"/>
      </c>
      <c r="S227" s="44"/>
      <c r="T227" s="44">
        <f t="shared" si="14"/>
      </c>
      <c r="U227" s="44"/>
      <c r="V227" s="44"/>
      <c r="W227" s="44"/>
      <c r="X227" s="44"/>
    </row>
    <row r="228" ht="15" customHeight="1" spans="1:24" x14ac:dyDescent="0.25">
      <c r="A228" s="40"/>
      <c r="B228" s="46"/>
      <c r="C228" s="42"/>
      <c r="D228" s="43"/>
      <c r="E228" s="10"/>
      <c r="F228" s="44"/>
      <c r="G228" s="45"/>
      <c r="H228" s="46" t="str">
        <f>IFERROR(VLOOKUP(E228,배송지!A:C,3,0)," ")</f>
        <v> </v>
      </c>
      <c r="I228" s="44"/>
      <c r="J228" s="44" t="str">
        <f>IFERROR(VLOOKUP(E228,배송지!A:C,2,0)," ")</f>
        <v> </v>
      </c>
      <c r="K228" s="44"/>
      <c r="L228" s="44" t="str">
        <f t="shared" si="12"/>
        <v>  </v>
      </c>
      <c r="M228" s="43"/>
      <c r="N228" s="44" t="str">
        <f> IFERROR(INDEX('상품정보(1)'!R:R,MATCH(발주서!P228,'상품정보(1)'!F:F,0))," ")</f>
        <v> </v>
      </c>
      <c r="O228" s="43"/>
      <c r="P228" s="44" t="str">
        <f>IFERROR(INDEX('상품정보(1)'!F:F,MATCH(발주서!O228,'상품정보(1)'!E:E,0))," ")</f>
        <v> </v>
      </c>
      <c r="Q228" s="49"/>
      <c r="R228" s="44">
        <f t="shared" si="13"/>
      </c>
      <c r="S228" s="44"/>
      <c r="T228" s="44">
        <f t="shared" si="14"/>
      </c>
      <c r="U228" s="44"/>
      <c r="V228" s="44"/>
      <c r="W228" s="44"/>
      <c r="X228" s="44"/>
    </row>
    <row r="229" ht="15" customHeight="1" spans="1:24" x14ac:dyDescent="0.25">
      <c r="A229" s="40"/>
      <c r="B229" s="46"/>
      <c r="C229" s="42"/>
      <c r="D229" s="43"/>
      <c r="E229" s="10"/>
      <c r="F229" s="44"/>
      <c r="G229" s="45"/>
      <c r="H229" s="46" t="str">
        <f>IFERROR(VLOOKUP(E229,배송지!A:C,3,0)," ")</f>
        <v> </v>
      </c>
      <c r="I229" s="44"/>
      <c r="J229" s="44" t="str">
        <f>IFERROR(VLOOKUP(E229,배송지!A:C,2,0)," ")</f>
        <v> </v>
      </c>
      <c r="K229" s="44"/>
      <c r="L229" s="44" t="str">
        <f t="shared" si="12"/>
        <v>  </v>
      </c>
      <c r="M229" s="43"/>
      <c r="N229" s="44" t="str">
        <f> IFERROR(INDEX('상품정보(1)'!R:R,MATCH(발주서!P229,'상품정보(1)'!F:F,0))," ")</f>
        <v> </v>
      </c>
      <c r="O229" s="43"/>
      <c r="P229" s="44" t="str">
        <f>IFERROR(INDEX('상품정보(1)'!F:F,MATCH(발주서!O229,'상품정보(1)'!E:E,0))," ")</f>
        <v> </v>
      </c>
      <c r="Q229" s="49"/>
      <c r="R229" s="44">
        <f t="shared" si="13"/>
      </c>
      <c r="S229" s="44"/>
      <c r="T229" s="44">
        <f t="shared" si="14"/>
      </c>
      <c r="U229" s="44"/>
      <c r="V229" s="44"/>
      <c r="W229" s="44"/>
      <c r="X229" s="44"/>
    </row>
    <row r="230" ht="15" customHeight="1" spans="1:24" x14ac:dyDescent="0.25">
      <c r="A230" s="40"/>
      <c r="B230" s="46"/>
      <c r="C230" s="42"/>
      <c r="D230" s="43"/>
      <c r="E230" s="10"/>
      <c r="F230" s="44"/>
      <c r="G230" s="45"/>
      <c r="H230" s="46" t="str">
        <f>IFERROR(VLOOKUP(E230,배송지!A:C,3,0)," ")</f>
        <v> </v>
      </c>
      <c r="I230" s="44"/>
      <c r="J230" s="44" t="str">
        <f>IFERROR(VLOOKUP(E230,배송지!A:C,2,0)," ")</f>
        <v> </v>
      </c>
      <c r="K230" s="44"/>
      <c r="L230" s="44" t="str">
        <f t="shared" si="12"/>
        <v>  </v>
      </c>
      <c r="M230" s="43"/>
      <c r="N230" s="44" t="str">
        <f> IFERROR(INDEX('상품정보(1)'!R:R,MATCH(발주서!P230,'상품정보(1)'!F:F,0))," ")</f>
        <v> </v>
      </c>
      <c r="O230" s="43"/>
      <c r="P230" s="44" t="str">
        <f>IFERROR(INDEX('상품정보(1)'!F:F,MATCH(발주서!O230,'상품정보(1)'!E:E,0))," ")</f>
        <v> </v>
      </c>
      <c r="Q230" s="49"/>
      <c r="R230" s="44">
        <f t="shared" si="13"/>
      </c>
      <c r="S230" s="44"/>
      <c r="T230" s="44">
        <f t="shared" si="14"/>
      </c>
      <c r="U230" s="44"/>
      <c r="V230" s="44"/>
      <c r="W230" s="44"/>
      <c r="X230" s="44"/>
    </row>
    <row r="231" ht="15" customHeight="1" spans="1:24" x14ac:dyDescent="0.25">
      <c r="A231" s="40"/>
      <c r="B231" s="46"/>
      <c r="C231" s="42"/>
      <c r="D231" s="43"/>
      <c r="E231" s="10"/>
      <c r="F231" s="44"/>
      <c r="G231" s="45"/>
      <c r="H231" s="46" t="str">
        <f>IFERROR(VLOOKUP(E231,배송지!A:C,3,0)," ")</f>
        <v> </v>
      </c>
      <c r="I231" s="44"/>
      <c r="J231" s="44" t="str">
        <f>IFERROR(VLOOKUP(E231,배송지!A:C,2,0)," ")</f>
        <v> </v>
      </c>
      <c r="K231" s="44"/>
      <c r="L231" s="44" t="str">
        <f t="shared" si="12"/>
        <v>  </v>
      </c>
      <c r="M231" s="43"/>
      <c r="N231" s="44" t="str">
        <f> IFERROR(INDEX('상품정보(1)'!R:R,MATCH(발주서!P231,'상품정보(1)'!F:F,0))," ")</f>
        <v> </v>
      </c>
      <c r="O231" s="43"/>
      <c r="P231" s="44" t="str">
        <f>IFERROR(INDEX('상품정보(1)'!F:F,MATCH(발주서!O231,'상품정보(1)'!E:E,0))," ")</f>
        <v> </v>
      </c>
      <c r="Q231" s="49"/>
      <c r="R231" s="44">
        <f t="shared" si="13"/>
      </c>
      <c r="S231" s="44"/>
      <c r="T231" s="44">
        <f t="shared" si="14"/>
      </c>
      <c r="U231" s="44"/>
      <c r="V231" s="44"/>
      <c r="W231" s="44"/>
      <c r="X231" s="44"/>
    </row>
    <row r="232" ht="15" customHeight="1" spans="1:24" x14ac:dyDescent="0.25">
      <c r="A232" s="40"/>
      <c r="B232" s="46"/>
      <c r="C232" s="42"/>
      <c r="D232" s="43"/>
      <c r="E232" s="10"/>
      <c r="F232" s="44"/>
      <c r="G232" s="45"/>
      <c r="H232" s="46" t="str">
        <f>IFERROR(VLOOKUP(E232,배송지!A:C,3,0)," ")</f>
        <v> </v>
      </c>
      <c r="I232" s="44"/>
      <c r="J232" s="44" t="str">
        <f>IFERROR(VLOOKUP(E232,배송지!A:C,2,0)," ")</f>
        <v> </v>
      </c>
      <c r="K232" s="44"/>
      <c r="L232" s="44" t="str">
        <f t="shared" si="12"/>
        <v>  </v>
      </c>
      <c r="M232" s="43"/>
      <c r="N232" s="44" t="str">
        <f> IFERROR(INDEX('상품정보(1)'!R:R,MATCH(발주서!P232,'상품정보(1)'!F:F,0))," ")</f>
        <v> </v>
      </c>
      <c r="O232" s="43"/>
      <c r="P232" s="44" t="str">
        <f>IFERROR(INDEX('상품정보(1)'!F:F,MATCH(발주서!O232,'상품정보(1)'!E:E,0))," ")</f>
        <v> </v>
      </c>
      <c r="Q232" s="49"/>
      <c r="R232" s="44">
        <f t="shared" si="13"/>
      </c>
      <c r="S232" s="44"/>
      <c r="T232" s="44">
        <f t="shared" si="14"/>
      </c>
      <c r="U232" s="44"/>
      <c r="V232" s="44"/>
      <c r="W232" s="44"/>
      <c r="X232" s="44"/>
    </row>
    <row r="233" ht="15" customHeight="1" spans="1:24" x14ac:dyDescent="0.25">
      <c r="A233" s="40"/>
      <c r="B233" s="46"/>
      <c r="C233" s="42"/>
      <c r="D233" s="43"/>
      <c r="E233" s="10"/>
      <c r="F233" s="44"/>
      <c r="G233" s="45"/>
      <c r="H233" s="46" t="str">
        <f>IFERROR(VLOOKUP(E233,배송지!A:C,3,0)," ")</f>
        <v> </v>
      </c>
      <c r="I233" s="44"/>
      <c r="J233" s="44" t="str">
        <f>IFERROR(VLOOKUP(E233,배송지!A:C,2,0)," ")</f>
        <v> </v>
      </c>
      <c r="K233" s="44"/>
      <c r="L233" s="44" t="str">
        <f t="shared" si="12"/>
        <v>  </v>
      </c>
      <c r="M233" s="43"/>
      <c r="N233" s="44" t="str">
        <f> IFERROR(INDEX('상품정보(1)'!R:R,MATCH(발주서!P233,'상품정보(1)'!F:F,0))," ")</f>
        <v> </v>
      </c>
      <c r="O233" s="43"/>
      <c r="P233" s="44" t="str">
        <f>IFERROR(INDEX('상품정보(1)'!F:F,MATCH(발주서!O233,'상품정보(1)'!E:E,0))," ")</f>
        <v> </v>
      </c>
      <c r="Q233" s="49"/>
      <c r="R233" s="44">
        <f t="shared" si="13"/>
      </c>
      <c r="S233" s="44"/>
      <c r="T233" s="44">
        <f t="shared" si="14"/>
      </c>
      <c r="U233" s="44"/>
      <c r="V233" s="44"/>
      <c r="W233" s="44"/>
      <c r="X233" s="44"/>
    </row>
    <row r="234" ht="15" customHeight="1" spans="1:24" x14ac:dyDescent="0.25">
      <c r="A234" s="40"/>
      <c r="B234" s="46"/>
      <c r="C234" s="42"/>
      <c r="D234" s="43"/>
      <c r="E234" s="10"/>
      <c r="F234" s="44"/>
      <c r="G234" s="45"/>
      <c r="H234" s="46" t="str">
        <f>IFERROR(VLOOKUP(E234,배송지!A:C,3,0)," ")</f>
        <v> </v>
      </c>
      <c r="I234" s="44"/>
      <c r="J234" s="44" t="str">
        <f>IFERROR(VLOOKUP(E234,배송지!A:C,2,0)," ")</f>
        <v> </v>
      </c>
      <c r="K234" s="44"/>
      <c r="L234" s="44" t="str">
        <f t="shared" si="12"/>
        <v>  </v>
      </c>
      <c r="M234" s="43"/>
      <c r="N234" s="44" t="str">
        <f> IFERROR(INDEX('상품정보(1)'!R:R,MATCH(발주서!P234,'상품정보(1)'!F:F,0))," ")</f>
        <v> </v>
      </c>
      <c r="O234" s="43"/>
      <c r="P234" s="44" t="str">
        <f>IFERROR(INDEX('상품정보(1)'!F:F,MATCH(발주서!O234,'상품정보(1)'!E:E,0))," ")</f>
        <v> </v>
      </c>
      <c r="Q234" s="49"/>
      <c r="R234" s="44">
        <f t="shared" si="13"/>
      </c>
      <c r="S234" s="44"/>
      <c r="T234" s="44">
        <f t="shared" si="14"/>
      </c>
      <c r="U234" s="44"/>
      <c r="V234" s="44"/>
      <c r="W234" s="44"/>
      <c r="X234" s="44"/>
    </row>
    <row r="235" ht="15" customHeight="1" spans="1:24" x14ac:dyDescent="0.25">
      <c r="A235" s="40"/>
      <c r="B235" s="46"/>
      <c r="C235" s="42"/>
      <c r="D235" s="43"/>
      <c r="E235" s="10"/>
      <c r="F235" s="44"/>
      <c r="G235" s="45"/>
      <c r="H235" s="46" t="str">
        <f>IFERROR(VLOOKUP(E235,배송지!A:C,3,0)," ")</f>
        <v> </v>
      </c>
      <c r="I235" s="44"/>
      <c r="J235" s="44" t="str">
        <f>IFERROR(VLOOKUP(E235,배송지!A:C,2,0)," ")</f>
        <v> </v>
      </c>
      <c r="K235" s="44"/>
      <c r="L235" s="44" t="str">
        <f t="shared" si="12"/>
        <v>  </v>
      </c>
      <c r="M235" s="43"/>
      <c r="N235" s="44" t="str">
        <f> IFERROR(INDEX('상품정보(1)'!R:R,MATCH(발주서!P235,'상품정보(1)'!F:F,0))," ")</f>
        <v> </v>
      </c>
      <c r="O235" s="43"/>
      <c r="P235" s="44" t="str">
        <f>IFERROR(INDEX('상품정보(1)'!F:F,MATCH(발주서!O235,'상품정보(1)'!E:E,0))," ")</f>
        <v> </v>
      </c>
      <c r="Q235" s="49"/>
      <c r="R235" s="44">
        <f t="shared" si="13"/>
      </c>
      <c r="S235" s="44"/>
      <c r="T235" s="44">
        <f t="shared" si="14"/>
      </c>
      <c r="U235" s="44"/>
      <c r="V235" s="44"/>
      <c r="W235" s="44"/>
      <c r="X235" s="44"/>
    </row>
    <row r="236" ht="15" customHeight="1" spans="1:24" x14ac:dyDescent="0.25">
      <c r="A236" s="40"/>
      <c r="B236" s="46"/>
      <c r="C236" s="42"/>
      <c r="D236" s="43"/>
      <c r="E236" s="10"/>
      <c r="F236" s="44"/>
      <c r="G236" s="45"/>
      <c r="H236" s="46" t="str">
        <f>IFERROR(VLOOKUP(E236,배송지!A:C,3,0)," ")</f>
        <v> </v>
      </c>
      <c r="I236" s="44"/>
      <c r="J236" s="44" t="str">
        <f>IFERROR(VLOOKUP(E236,배송지!A:C,2,0)," ")</f>
        <v> </v>
      </c>
      <c r="K236" s="44"/>
      <c r="L236" s="44" t="str">
        <f t="shared" si="12"/>
        <v>  </v>
      </c>
      <c r="M236" s="43"/>
      <c r="N236" s="44" t="str">
        <f> IFERROR(INDEX('상품정보(1)'!R:R,MATCH(발주서!P236,'상품정보(1)'!F:F,0))," ")</f>
        <v> </v>
      </c>
      <c r="O236" s="43"/>
      <c r="P236" s="44" t="str">
        <f>IFERROR(INDEX('상품정보(1)'!F:F,MATCH(발주서!O236,'상품정보(1)'!E:E,0))," ")</f>
        <v> </v>
      </c>
      <c r="Q236" s="49"/>
      <c r="R236" s="44">
        <f t="shared" si="13"/>
      </c>
      <c r="S236" s="44"/>
      <c r="T236" s="44">
        <f t="shared" si="14"/>
      </c>
      <c r="U236" s="44"/>
      <c r="V236" s="44"/>
      <c r="W236" s="44"/>
      <c r="X236" s="44"/>
    </row>
    <row r="237" ht="15" customHeight="1" spans="1:24" x14ac:dyDescent="0.25">
      <c r="A237" s="40"/>
      <c r="B237" s="46"/>
      <c r="C237" s="42"/>
      <c r="D237" s="43"/>
      <c r="E237" s="10"/>
      <c r="F237" s="44"/>
      <c r="G237" s="45"/>
      <c r="H237" s="46" t="str">
        <f>IFERROR(VLOOKUP(E237,배송지!A:C,3,0)," ")</f>
        <v> </v>
      </c>
      <c r="I237" s="44"/>
      <c r="J237" s="44" t="str">
        <f>IFERROR(VLOOKUP(E237,배송지!A:C,2,0)," ")</f>
        <v> </v>
      </c>
      <c r="K237" s="44"/>
      <c r="L237" s="44" t="str">
        <f t="shared" si="12"/>
        <v>  </v>
      </c>
      <c r="M237" s="43"/>
      <c r="N237" s="44" t="str">
        <f> IFERROR(INDEX('상품정보(1)'!R:R,MATCH(발주서!P237,'상품정보(1)'!F:F,0))," ")</f>
        <v> </v>
      </c>
      <c r="O237" s="43"/>
      <c r="P237" s="44" t="str">
        <f>IFERROR(INDEX('상품정보(1)'!F:F,MATCH(발주서!O237,'상품정보(1)'!E:E,0))," ")</f>
        <v> </v>
      </c>
      <c r="Q237" s="49"/>
      <c r="R237" s="44">
        <f t="shared" si="13"/>
      </c>
      <c r="S237" s="44"/>
      <c r="T237" s="44">
        <f t="shared" si="14"/>
      </c>
      <c r="U237" s="44"/>
      <c r="V237" s="44"/>
      <c r="W237" s="44"/>
      <c r="X237" s="44"/>
    </row>
    <row r="238" ht="15" customHeight="1" spans="1:24" x14ac:dyDescent="0.25">
      <c r="A238" s="40"/>
      <c r="B238" s="46"/>
      <c r="C238" s="42"/>
      <c r="D238" s="43"/>
      <c r="E238" s="10"/>
      <c r="F238" s="44"/>
      <c r="G238" s="45"/>
      <c r="H238" s="46" t="str">
        <f>IFERROR(VLOOKUP(E238,배송지!A:C,3,0)," ")</f>
        <v> </v>
      </c>
      <c r="I238" s="44"/>
      <c r="J238" s="44" t="str">
        <f>IFERROR(VLOOKUP(E238,배송지!A:C,2,0)," ")</f>
        <v> </v>
      </c>
      <c r="K238" s="44"/>
      <c r="L238" s="44" t="str">
        <f t="shared" si="12"/>
        <v>  </v>
      </c>
      <c r="M238" s="43"/>
      <c r="N238" s="44" t="str">
        <f> IFERROR(INDEX('상품정보(1)'!R:R,MATCH(발주서!P238,'상품정보(1)'!F:F,0))," ")</f>
        <v> </v>
      </c>
      <c r="O238" s="43"/>
      <c r="P238" s="44" t="str">
        <f>IFERROR(INDEX('상품정보(1)'!F:F,MATCH(발주서!O238,'상품정보(1)'!E:E,0))," ")</f>
        <v> </v>
      </c>
      <c r="Q238" s="49"/>
      <c r="R238" s="44">
        <f t="shared" si="13"/>
      </c>
      <c r="S238" s="44"/>
      <c r="T238" s="44">
        <f t="shared" si="14"/>
      </c>
      <c r="U238" s="44"/>
      <c r="V238" s="44"/>
      <c r="W238" s="44"/>
      <c r="X238" s="44"/>
    </row>
    <row r="239" ht="15" customHeight="1" spans="1:24" x14ac:dyDescent="0.25">
      <c r="A239" s="40"/>
      <c r="B239" s="46"/>
      <c r="C239" s="42"/>
      <c r="D239" s="43"/>
      <c r="E239" s="10"/>
      <c r="F239" s="44"/>
      <c r="G239" s="45"/>
      <c r="H239" s="46" t="str">
        <f>IFERROR(VLOOKUP(E239,배송지!A:C,3,0)," ")</f>
        <v> </v>
      </c>
      <c r="I239" s="44"/>
      <c r="J239" s="44" t="str">
        <f>IFERROR(VLOOKUP(E239,배송지!A:C,2,0)," ")</f>
        <v> </v>
      </c>
      <c r="K239" s="44"/>
      <c r="L239" s="44" t="str">
        <f t="shared" si="12"/>
        <v>  </v>
      </c>
      <c r="M239" s="43"/>
      <c r="N239" s="44" t="str">
        <f> IFERROR(INDEX('상품정보(1)'!R:R,MATCH(발주서!P239,'상품정보(1)'!F:F,0))," ")</f>
        <v> </v>
      </c>
      <c r="O239" s="43"/>
      <c r="P239" s="44" t="str">
        <f>IFERROR(INDEX('상품정보(1)'!F:F,MATCH(발주서!O239,'상품정보(1)'!E:E,0))," ")</f>
        <v> </v>
      </c>
      <c r="Q239" s="49"/>
      <c r="R239" s="44">
        <f t="shared" si="13"/>
      </c>
      <c r="S239" s="44"/>
      <c r="T239" s="44">
        <f t="shared" si="14"/>
      </c>
      <c r="U239" s="44"/>
      <c r="V239" s="44"/>
      <c r="W239" s="44"/>
      <c r="X239" s="44"/>
    </row>
    <row r="240" ht="15" customHeight="1" spans="1:24" x14ac:dyDescent="0.25">
      <c r="A240" s="40"/>
      <c r="B240" s="46"/>
      <c r="C240" s="42"/>
      <c r="D240" s="43"/>
      <c r="E240" s="10"/>
      <c r="F240" s="44"/>
      <c r="G240" s="45"/>
      <c r="H240" s="46" t="str">
        <f>IFERROR(VLOOKUP(E240,배송지!A:C,3,0)," ")</f>
        <v> </v>
      </c>
      <c r="I240" s="44"/>
      <c r="J240" s="44" t="str">
        <f>IFERROR(VLOOKUP(E240,배송지!A:C,2,0)," ")</f>
        <v> </v>
      </c>
      <c r="K240" s="44"/>
      <c r="L240" s="44" t="str">
        <f t="shared" si="12"/>
        <v>  </v>
      </c>
      <c r="M240" s="43"/>
      <c r="N240" s="44" t="str">
        <f> IFERROR(INDEX('상품정보(1)'!R:R,MATCH(발주서!P240,'상품정보(1)'!F:F,0))," ")</f>
        <v> </v>
      </c>
      <c r="O240" s="43"/>
      <c r="P240" s="44" t="str">
        <f>IFERROR(INDEX('상품정보(1)'!F:F,MATCH(발주서!O240,'상품정보(1)'!E:E,0))," ")</f>
        <v> </v>
      </c>
      <c r="Q240" s="49"/>
      <c r="R240" s="44">
        <f t="shared" si="13"/>
      </c>
      <c r="S240" s="44"/>
      <c r="T240" s="44">
        <f t="shared" si="14"/>
      </c>
      <c r="U240" s="44"/>
      <c r="V240" s="44"/>
      <c r="W240" s="44"/>
      <c r="X240" s="44"/>
    </row>
    <row r="241" ht="15" customHeight="1" spans="1:24" x14ac:dyDescent="0.25">
      <c r="A241" s="40"/>
      <c r="B241" s="46"/>
      <c r="C241" s="42"/>
      <c r="D241" s="43"/>
      <c r="E241" s="10"/>
      <c r="F241" s="44"/>
      <c r="G241" s="45"/>
      <c r="H241" s="46" t="str">
        <f>IFERROR(VLOOKUP(E241,배송지!A:C,3,0)," ")</f>
        <v> </v>
      </c>
      <c r="I241" s="44"/>
      <c r="J241" s="44" t="str">
        <f>IFERROR(VLOOKUP(E241,배송지!A:C,2,0)," ")</f>
        <v> </v>
      </c>
      <c r="K241" s="44"/>
      <c r="L241" s="44" t="str">
        <f t="shared" si="12"/>
        <v>  </v>
      </c>
      <c r="M241" s="43"/>
      <c r="N241" s="44" t="str">
        <f> IFERROR(INDEX('상품정보(1)'!R:R,MATCH(발주서!P241,'상품정보(1)'!F:F,0))," ")</f>
        <v> </v>
      </c>
      <c r="O241" s="43"/>
      <c r="P241" s="44" t="str">
        <f>IFERROR(INDEX('상품정보(1)'!F:F,MATCH(발주서!O241,'상품정보(1)'!E:E,0))," ")</f>
        <v> </v>
      </c>
      <c r="Q241" s="49"/>
      <c r="R241" s="44">
        <f t="shared" si="13"/>
      </c>
      <c r="S241" s="44"/>
      <c r="T241" s="44">
        <f t="shared" si="14"/>
      </c>
      <c r="U241" s="44"/>
      <c r="V241" s="44"/>
      <c r="W241" s="44"/>
      <c r="X241" s="44"/>
    </row>
    <row r="242" ht="15" customHeight="1" spans="1:24" x14ac:dyDescent="0.25">
      <c r="A242" s="40"/>
      <c r="B242" s="46"/>
      <c r="C242" s="42"/>
      <c r="D242" s="43"/>
      <c r="E242" s="10"/>
      <c r="F242" s="44"/>
      <c r="G242" s="45"/>
      <c r="H242" s="46" t="str">
        <f>IFERROR(VLOOKUP(E242,배송지!A:C,3,0)," ")</f>
        <v> </v>
      </c>
      <c r="I242" s="44"/>
      <c r="J242" s="44" t="str">
        <f>IFERROR(VLOOKUP(E242,배송지!A:C,2,0)," ")</f>
        <v> </v>
      </c>
      <c r="K242" s="44"/>
      <c r="L242" s="44" t="str">
        <f t="shared" si="12"/>
        <v>  </v>
      </c>
      <c r="M242" s="43"/>
      <c r="N242" s="44" t="str">
        <f> IFERROR(INDEX('상품정보(1)'!R:R,MATCH(발주서!P242,'상품정보(1)'!F:F,0))," ")</f>
        <v> </v>
      </c>
      <c r="O242" s="43"/>
      <c r="P242" s="44" t="str">
        <f>IFERROR(INDEX('상품정보(1)'!F:F,MATCH(발주서!O242,'상품정보(1)'!E:E,0))," ")</f>
        <v> </v>
      </c>
      <c r="Q242" s="49"/>
      <c r="R242" s="44">
        <f t="shared" si="13"/>
      </c>
      <c r="S242" s="44"/>
      <c r="T242" s="44">
        <f t="shared" si="14"/>
      </c>
      <c r="U242" s="44"/>
      <c r="V242" s="44"/>
      <c r="W242" s="44"/>
      <c r="X242" s="44"/>
    </row>
    <row r="243" ht="15" customHeight="1" spans="1:24" x14ac:dyDescent="0.25">
      <c r="A243" s="40"/>
      <c r="B243" s="46"/>
      <c r="C243" s="42"/>
      <c r="D243" s="43"/>
      <c r="E243" s="10"/>
      <c r="F243" s="44"/>
      <c r="G243" s="45"/>
      <c r="H243" s="46" t="str">
        <f>IFERROR(VLOOKUP(E243,배송지!A:C,3,0)," ")</f>
        <v> </v>
      </c>
      <c r="I243" s="44"/>
      <c r="J243" s="44" t="str">
        <f>IFERROR(VLOOKUP(E243,배송지!A:C,2,0)," ")</f>
        <v> </v>
      </c>
      <c r="K243" s="44"/>
      <c r="L243" s="44" t="str">
        <f t="shared" si="12"/>
        <v>  </v>
      </c>
      <c r="M243" s="43"/>
      <c r="N243" s="44" t="str">
        <f> IFERROR(INDEX('상품정보(1)'!R:R,MATCH(발주서!P243,'상품정보(1)'!F:F,0))," ")</f>
        <v> </v>
      </c>
      <c r="O243" s="43"/>
      <c r="P243" s="44" t="str">
        <f>IFERROR(INDEX('상품정보(1)'!F:F,MATCH(발주서!O243,'상품정보(1)'!E:E,0))," ")</f>
        <v> </v>
      </c>
      <c r="Q243" s="49"/>
      <c r="R243" s="44">
        <f t="shared" si="13"/>
      </c>
      <c r="S243" s="44"/>
      <c r="T243" s="44">
        <f t="shared" si="14"/>
      </c>
      <c r="U243" s="44"/>
      <c r="V243" s="44"/>
      <c r="W243" s="44"/>
      <c r="X243" s="44"/>
    </row>
    <row r="244" ht="15" customHeight="1" spans="1:24" x14ac:dyDescent="0.25">
      <c r="A244" s="40"/>
      <c r="B244" s="46"/>
      <c r="C244" s="42"/>
      <c r="D244" s="43"/>
      <c r="E244" s="10"/>
      <c r="F244" s="44"/>
      <c r="G244" s="45"/>
      <c r="H244" s="46" t="str">
        <f>IFERROR(VLOOKUP(E244,배송지!A:C,3,0)," ")</f>
        <v> </v>
      </c>
      <c r="I244" s="44"/>
      <c r="J244" s="44" t="str">
        <f>IFERROR(VLOOKUP(E244,배송지!A:C,2,0)," ")</f>
        <v> </v>
      </c>
      <c r="K244" s="44"/>
      <c r="L244" s="44" t="str">
        <f t="shared" si="12"/>
        <v>  </v>
      </c>
      <c r="M244" s="43"/>
      <c r="N244" s="44" t="str">
        <f> IFERROR(INDEX('상품정보(1)'!R:R,MATCH(발주서!P244,'상품정보(1)'!F:F,0))," ")</f>
        <v> </v>
      </c>
      <c r="O244" s="43"/>
      <c r="P244" s="44" t="str">
        <f>IFERROR(INDEX('상품정보(1)'!F:F,MATCH(발주서!O244,'상품정보(1)'!E:E,0))," ")</f>
        <v> </v>
      </c>
      <c r="Q244" s="49"/>
      <c r="R244" s="44">
        <f t="shared" si="13"/>
      </c>
      <c r="S244" s="44"/>
      <c r="T244" s="44">
        <f t="shared" si="14"/>
      </c>
      <c r="U244" s="44"/>
      <c r="V244" s="44"/>
      <c r="W244" s="44"/>
      <c r="X244" s="44"/>
    </row>
    <row r="245" ht="15" customHeight="1" spans="1:24" x14ac:dyDescent="0.25">
      <c r="A245" s="40"/>
      <c r="B245" s="46"/>
      <c r="C245" s="42"/>
      <c r="D245" s="43"/>
      <c r="E245" s="10"/>
      <c r="F245" s="44"/>
      <c r="G245" s="45"/>
      <c r="H245" s="46" t="str">
        <f>IFERROR(VLOOKUP(E245,배송지!A:C,3,0)," ")</f>
        <v> </v>
      </c>
      <c r="I245" s="44"/>
      <c r="J245" s="44" t="str">
        <f>IFERROR(VLOOKUP(E245,배송지!A:C,2,0)," ")</f>
        <v> </v>
      </c>
      <c r="K245" s="44"/>
      <c r="L245" s="44" t="str">
        <f t="shared" si="12"/>
        <v>  </v>
      </c>
      <c r="M245" s="43"/>
      <c r="N245" s="44" t="str">
        <f> IFERROR(INDEX('상품정보(1)'!R:R,MATCH(발주서!P245,'상품정보(1)'!F:F,0))," ")</f>
        <v> </v>
      </c>
      <c r="O245" s="43"/>
      <c r="P245" s="44" t="str">
        <f>IFERROR(INDEX('상품정보(1)'!F:F,MATCH(발주서!O245,'상품정보(1)'!E:E,0))," ")</f>
        <v> </v>
      </c>
      <c r="Q245" s="49"/>
      <c r="R245" s="44">
        <f t="shared" si="13"/>
      </c>
      <c r="S245" s="44"/>
      <c r="T245" s="44">
        <f t="shared" si="14"/>
      </c>
      <c r="U245" s="44"/>
      <c r="V245" s="44"/>
      <c r="W245" s="44"/>
      <c r="X245" s="44"/>
    </row>
    <row r="246" ht="15" customHeight="1" spans="1:24" x14ac:dyDescent="0.25">
      <c r="A246" s="40"/>
      <c r="B246" s="46"/>
      <c r="C246" s="42"/>
      <c r="D246" s="43"/>
      <c r="E246" s="10"/>
      <c r="F246" s="44"/>
      <c r="G246" s="45"/>
      <c r="H246" s="46" t="str">
        <f>IFERROR(VLOOKUP(E246,배송지!A:C,3,0)," ")</f>
        <v> </v>
      </c>
      <c r="I246" s="44"/>
      <c r="J246" s="44" t="str">
        <f>IFERROR(VLOOKUP(E246,배송지!A:C,2,0)," ")</f>
        <v> </v>
      </c>
      <c r="K246" s="44"/>
      <c r="L246" s="44" t="str">
        <f t="shared" si="12"/>
        <v>  </v>
      </c>
      <c r="M246" s="43"/>
      <c r="N246" s="44" t="str">
        <f> IFERROR(INDEX('상품정보(1)'!R:R,MATCH(발주서!P246,'상품정보(1)'!F:F,0))," ")</f>
        <v> </v>
      </c>
      <c r="O246" s="43"/>
      <c r="P246" s="44" t="str">
        <f>IFERROR(INDEX('상품정보(1)'!F:F,MATCH(발주서!O246,'상품정보(1)'!E:E,0))," ")</f>
        <v> </v>
      </c>
      <c r="Q246" s="49"/>
      <c r="R246" s="44">
        <f t="shared" si="13"/>
      </c>
      <c r="S246" s="44"/>
      <c r="T246" s="44">
        <f t="shared" si="14"/>
      </c>
      <c r="U246" s="44"/>
      <c r="V246" s="44"/>
      <c r="W246" s="44"/>
      <c r="X246" s="44"/>
    </row>
    <row r="247" ht="15" customHeight="1" spans="1:24" x14ac:dyDescent="0.25">
      <c r="A247" s="40"/>
      <c r="B247" s="46"/>
      <c r="C247" s="42"/>
      <c r="D247" s="43"/>
      <c r="E247" s="10"/>
      <c r="F247" s="44"/>
      <c r="G247" s="45"/>
      <c r="H247" s="46" t="str">
        <f>IFERROR(VLOOKUP(E247,배송지!A:C,3,0)," ")</f>
        <v> </v>
      </c>
      <c r="I247" s="44"/>
      <c r="J247" s="44" t="str">
        <f>IFERROR(VLOOKUP(E247,배송지!A:C,2,0)," ")</f>
        <v> </v>
      </c>
      <c r="K247" s="44"/>
      <c r="L247" s="44" t="str">
        <f t="shared" si="12"/>
        <v>  </v>
      </c>
      <c r="M247" s="43"/>
      <c r="N247" s="44" t="str">
        <f> IFERROR(INDEX('상품정보(1)'!R:R,MATCH(발주서!P247,'상품정보(1)'!F:F,0))," ")</f>
        <v> </v>
      </c>
      <c r="O247" s="43"/>
      <c r="P247" s="44" t="str">
        <f>IFERROR(INDEX('상품정보(1)'!F:F,MATCH(발주서!O247,'상품정보(1)'!E:E,0))," ")</f>
        <v> </v>
      </c>
      <c r="Q247" s="49"/>
      <c r="R247" s="44">
        <f t="shared" si="13"/>
      </c>
      <c r="S247" s="44"/>
      <c r="T247" s="44">
        <f t="shared" si="14"/>
      </c>
      <c r="U247" s="44"/>
      <c r="V247" s="44"/>
      <c r="W247" s="44"/>
      <c r="X247" s="44"/>
    </row>
    <row r="248" ht="15" customHeight="1" spans="1:24" x14ac:dyDescent="0.25">
      <c r="A248" s="40"/>
      <c r="B248" s="46"/>
      <c r="C248" s="42"/>
      <c r="D248" s="43"/>
      <c r="E248" s="10"/>
      <c r="F248" s="44"/>
      <c r="G248" s="45"/>
      <c r="H248" s="46" t="str">
        <f>IFERROR(VLOOKUP(E248,배송지!A:C,3,0)," ")</f>
        <v> </v>
      </c>
      <c r="I248" s="44"/>
      <c r="J248" s="44" t="str">
        <f>IFERROR(VLOOKUP(E248,배송지!A:C,2,0)," ")</f>
        <v> </v>
      </c>
      <c r="K248" s="44"/>
      <c r="L248" s="44" t="str">
        <f t="shared" si="12"/>
        <v>  </v>
      </c>
      <c r="M248" s="43"/>
      <c r="N248" s="44" t="str">
        <f> IFERROR(INDEX('상품정보(1)'!R:R,MATCH(발주서!P248,'상품정보(1)'!F:F,0))," ")</f>
        <v> </v>
      </c>
      <c r="O248" s="43"/>
      <c r="P248" s="44" t="str">
        <f>IFERROR(INDEX('상품정보(1)'!F:F,MATCH(발주서!O248,'상품정보(1)'!E:E,0))," ")</f>
        <v> </v>
      </c>
      <c r="Q248" s="49"/>
      <c r="R248" s="44">
        <f t="shared" si="13"/>
      </c>
      <c r="S248" s="44"/>
      <c r="T248" s="44">
        <f t="shared" si="14"/>
      </c>
      <c r="U248" s="44"/>
      <c r="V248" s="44"/>
      <c r="W248" s="44"/>
      <c r="X248" s="44"/>
    </row>
    <row r="249" ht="15" customHeight="1" spans="1:24" x14ac:dyDescent="0.25">
      <c r="A249" s="40"/>
      <c r="B249" s="46"/>
      <c r="C249" s="42"/>
      <c r="D249" s="43"/>
      <c r="E249" s="10"/>
      <c r="F249" s="44"/>
      <c r="G249" s="45"/>
      <c r="H249" s="46" t="str">
        <f>IFERROR(VLOOKUP(E249,배송지!A:C,3,0)," ")</f>
        <v> </v>
      </c>
      <c r="I249" s="44"/>
      <c r="J249" s="44" t="str">
        <f>IFERROR(VLOOKUP(E249,배송지!A:C,2,0)," ")</f>
        <v> </v>
      </c>
      <c r="K249" s="44"/>
      <c r="L249" s="44" t="str">
        <f t="shared" si="12"/>
        <v>  </v>
      </c>
      <c r="M249" s="43"/>
      <c r="N249" s="44" t="str">
        <f> IFERROR(INDEX('상품정보(1)'!R:R,MATCH(발주서!P249,'상품정보(1)'!F:F,0))," ")</f>
        <v> </v>
      </c>
      <c r="O249" s="43"/>
      <c r="P249" s="44" t="str">
        <f>IFERROR(INDEX('상품정보(1)'!F:F,MATCH(발주서!O249,'상품정보(1)'!E:E,0))," ")</f>
        <v> </v>
      </c>
      <c r="Q249" s="49"/>
      <c r="R249" s="44">
        <f t="shared" si="13"/>
      </c>
      <c r="S249" s="44"/>
      <c r="T249" s="44">
        <f t="shared" si="14"/>
      </c>
      <c r="U249" s="44"/>
      <c r="V249" s="44"/>
      <c r="W249" s="44"/>
      <c r="X249" s="44"/>
    </row>
    <row r="250" ht="15" customHeight="1" spans="1:24" x14ac:dyDescent="0.25">
      <c r="A250" s="40"/>
      <c r="B250" s="46"/>
      <c r="C250" s="42"/>
      <c r="D250" s="43"/>
      <c r="E250" s="10"/>
      <c r="F250" s="44"/>
      <c r="G250" s="45"/>
      <c r="H250" s="46" t="str">
        <f>IFERROR(VLOOKUP(E250,배송지!A:C,3,0)," ")</f>
        <v> </v>
      </c>
      <c r="I250" s="44"/>
      <c r="J250" s="44" t="str">
        <f>IFERROR(VLOOKUP(E250,배송지!A:C,2,0)," ")</f>
        <v> </v>
      </c>
      <c r="K250" s="44"/>
      <c r="L250" s="44" t="str">
        <f t="shared" si="12"/>
        <v>  </v>
      </c>
      <c r="M250" s="43"/>
      <c r="N250" s="44" t="str">
        <f> IFERROR(INDEX('상품정보(1)'!R:R,MATCH(발주서!P250,'상품정보(1)'!F:F,0))," ")</f>
        <v> </v>
      </c>
      <c r="O250" s="43"/>
      <c r="P250" s="44" t="str">
        <f>IFERROR(INDEX('상품정보(1)'!F:F,MATCH(발주서!O250,'상품정보(1)'!E:E,0))," ")</f>
        <v> </v>
      </c>
      <c r="Q250" s="49"/>
      <c r="R250" s="44">
        <f t="shared" si="13"/>
      </c>
      <c r="S250" s="44"/>
      <c r="T250" s="44">
        <f t="shared" si="14"/>
      </c>
      <c r="U250" s="44"/>
      <c r="V250" s="44"/>
      <c r="W250" s="44"/>
      <c r="X250" s="44"/>
    </row>
    <row r="251" ht="15" customHeight="1" spans="1:24" x14ac:dyDescent="0.25">
      <c r="A251" s="40"/>
      <c r="B251" s="46"/>
      <c r="C251" s="42"/>
      <c r="D251" s="43"/>
      <c r="E251" s="10"/>
      <c r="F251" s="44"/>
      <c r="G251" s="45"/>
      <c r="H251" s="46" t="str">
        <f>IFERROR(VLOOKUP(E251,배송지!A:C,3,0)," ")</f>
        <v> </v>
      </c>
      <c r="I251" s="44"/>
      <c r="J251" s="44" t="str">
        <f>IFERROR(VLOOKUP(E251,배송지!A:C,2,0)," ")</f>
        <v> </v>
      </c>
      <c r="K251" s="44"/>
      <c r="L251" s="44" t="str">
        <f t="shared" si="12"/>
        <v>  </v>
      </c>
      <c r="M251" s="43"/>
      <c r="N251" s="44" t="str">
        <f> IFERROR(INDEX('상품정보(1)'!R:R,MATCH(발주서!P251,'상품정보(1)'!F:F,0))," ")</f>
        <v> </v>
      </c>
      <c r="O251" s="43"/>
      <c r="P251" s="44" t="str">
        <f>IFERROR(INDEX('상품정보(1)'!F:F,MATCH(발주서!O251,'상품정보(1)'!E:E,0))," ")</f>
        <v> </v>
      </c>
      <c r="Q251" s="49"/>
      <c r="R251" s="44">
        <f t="shared" si="13"/>
      </c>
      <c r="S251" s="44"/>
      <c r="T251" s="44">
        <f t="shared" si="14"/>
      </c>
      <c r="U251" s="44"/>
      <c r="V251" s="44"/>
      <c r="W251" s="44"/>
      <c r="X251" s="44"/>
    </row>
    <row r="252" ht="15" customHeight="1" spans="1:24" x14ac:dyDescent="0.25">
      <c r="A252" s="40"/>
      <c r="B252" s="46"/>
      <c r="C252" s="42"/>
      <c r="D252" s="43"/>
      <c r="E252" s="10"/>
      <c r="F252" s="44"/>
      <c r="G252" s="45"/>
      <c r="H252" s="46" t="str">
        <f>IFERROR(VLOOKUP(E252,배송지!A:C,3,0)," ")</f>
        <v> </v>
      </c>
      <c r="I252" s="44"/>
      <c r="J252" s="44" t="str">
        <f>IFERROR(VLOOKUP(E252,배송지!A:C,2,0)," ")</f>
        <v> </v>
      </c>
      <c r="K252" s="44"/>
      <c r="L252" s="44" t="str">
        <f t="shared" si="12"/>
        <v>  </v>
      </c>
      <c r="M252" s="43"/>
      <c r="N252" s="44" t="str">
        <f> IFERROR(INDEX('상품정보(1)'!R:R,MATCH(발주서!P252,'상품정보(1)'!F:F,0))," ")</f>
        <v> </v>
      </c>
      <c r="O252" s="43"/>
      <c r="P252" s="44" t="str">
        <f>IFERROR(INDEX('상품정보(1)'!F:F,MATCH(발주서!O252,'상품정보(1)'!E:E,0))," ")</f>
        <v> </v>
      </c>
      <c r="Q252" s="49"/>
      <c r="R252" s="44">
        <f t="shared" si="13"/>
      </c>
      <c r="S252" s="44"/>
      <c r="T252" s="44">
        <f t="shared" si="14"/>
      </c>
      <c r="U252" s="44"/>
      <c r="V252" s="44"/>
      <c r="W252" s="44"/>
      <c r="X252" s="44"/>
    </row>
    <row r="253" ht="15" customHeight="1" spans="1:24" x14ac:dyDescent="0.25">
      <c r="A253" s="40"/>
      <c r="B253" s="46"/>
      <c r="C253" s="42"/>
      <c r="D253" s="43"/>
      <c r="E253" s="10"/>
      <c r="F253" s="44"/>
      <c r="G253" s="45"/>
      <c r="H253" s="46" t="str">
        <f>IFERROR(VLOOKUP(E253,배송지!A:C,3,0)," ")</f>
        <v> </v>
      </c>
      <c r="I253" s="44"/>
      <c r="J253" s="44" t="str">
        <f>IFERROR(VLOOKUP(E253,배송지!A:C,2,0)," ")</f>
        <v> </v>
      </c>
      <c r="K253" s="44"/>
      <c r="L253" s="44" t="str">
        <f t="shared" si="12"/>
        <v>  </v>
      </c>
      <c r="M253" s="43"/>
      <c r="N253" s="44" t="str">
        <f> IFERROR(INDEX('상품정보(1)'!R:R,MATCH(발주서!P253,'상품정보(1)'!F:F,0))," ")</f>
        <v> </v>
      </c>
      <c r="O253" s="43"/>
      <c r="P253" s="44" t="str">
        <f>IFERROR(INDEX('상품정보(1)'!F:F,MATCH(발주서!O253,'상품정보(1)'!E:E,0))," ")</f>
        <v> </v>
      </c>
      <c r="Q253" s="49"/>
      <c r="R253" s="44">
        <f t="shared" si="13"/>
      </c>
      <c r="S253" s="44"/>
      <c r="T253" s="44">
        <f t="shared" si="14"/>
      </c>
      <c r="U253" s="44"/>
      <c r="V253" s="44"/>
      <c r="W253" s="44"/>
      <c r="X253" s="44"/>
    </row>
    <row r="254" ht="15" customHeight="1" spans="1:24" x14ac:dyDescent="0.25">
      <c r="A254" s="40"/>
      <c r="B254" s="46"/>
      <c r="C254" s="42"/>
      <c r="D254" s="43"/>
      <c r="E254" s="10"/>
      <c r="F254" s="44"/>
      <c r="G254" s="45"/>
      <c r="H254" s="46" t="str">
        <f>IFERROR(VLOOKUP(E254,배송지!A:C,3,0)," ")</f>
        <v> </v>
      </c>
      <c r="I254" s="44"/>
      <c r="J254" s="44" t="str">
        <f>IFERROR(VLOOKUP(E254,배송지!A:C,2,0)," ")</f>
        <v> </v>
      </c>
      <c r="K254" s="44"/>
      <c r="L254" s="44" t="str">
        <f t="shared" si="12"/>
        <v>  </v>
      </c>
      <c r="M254" s="43"/>
      <c r="N254" s="44" t="str">
        <f> IFERROR(INDEX('상품정보(1)'!R:R,MATCH(발주서!P254,'상품정보(1)'!F:F,0))," ")</f>
        <v> </v>
      </c>
      <c r="O254" s="43"/>
      <c r="P254" s="44" t="str">
        <f>IFERROR(INDEX('상품정보(1)'!F:F,MATCH(발주서!O254,'상품정보(1)'!E:E,0))," ")</f>
        <v> </v>
      </c>
      <c r="Q254" s="49"/>
      <c r="R254" s="44">
        <f t="shared" si="13"/>
      </c>
      <c r="S254" s="44"/>
      <c r="T254" s="44">
        <f t="shared" si="14"/>
      </c>
      <c r="U254" s="44"/>
      <c r="V254" s="44"/>
      <c r="W254" s="44"/>
      <c r="X254" s="44"/>
    </row>
    <row r="255" ht="15" customHeight="1" spans="1:24" x14ac:dyDescent="0.25">
      <c r="A255" s="40"/>
      <c r="B255" s="46"/>
      <c r="C255" s="42"/>
      <c r="D255" s="43"/>
      <c r="E255" s="10"/>
      <c r="F255" s="44"/>
      <c r="G255" s="45"/>
      <c r="H255" s="46" t="str">
        <f>IFERROR(VLOOKUP(E255,배송지!A:C,3,0)," ")</f>
        <v> </v>
      </c>
      <c r="I255" s="44"/>
      <c r="J255" s="44" t="str">
        <f>IFERROR(VLOOKUP(E255,배송지!A:C,2,0)," ")</f>
        <v> </v>
      </c>
      <c r="K255" s="44"/>
      <c r="L255" s="44" t="str">
        <f t="shared" si="12"/>
        <v>  </v>
      </c>
      <c r="M255" s="43"/>
      <c r="N255" s="44" t="str">
        <f> IFERROR(INDEX('상품정보(1)'!R:R,MATCH(발주서!P255,'상품정보(1)'!F:F,0))," ")</f>
        <v> </v>
      </c>
      <c r="O255" s="43"/>
      <c r="P255" s="44" t="str">
        <f>IFERROR(INDEX('상품정보(1)'!F:F,MATCH(발주서!O255,'상품정보(1)'!E:E,0))," ")</f>
        <v> </v>
      </c>
      <c r="Q255" s="49"/>
      <c r="R255" s="44">
        <f t="shared" si="13"/>
      </c>
      <c r="S255" s="44"/>
      <c r="T255" s="44">
        <f t="shared" si="14"/>
      </c>
      <c r="U255" s="44"/>
      <c r="V255" s="44"/>
      <c r="W255" s="44"/>
      <c r="X255" s="44"/>
    </row>
    <row r="256" ht="15" customHeight="1" spans="1:24" x14ac:dyDescent="0.25">
      <c r="A256" s="40"/>
      <c r="B256" s="46"/>
      <c r="C256" s="42"/>
      <c r="D256" s="43"/>
      <c r="E256" s="10"/>
      <c r="F256" s="44"/>
      <c r="G256" s="45"/>
      <c r="H256" s="46" t="str">
        <f>IFERROR(VLOOKUP(E256,배송지!A:C,3,0)," ")</f>
        <v> </v>
      </c>
      <c r="I256" s="44"/>
      <c r="J256" s="44" t="str">
        <f>IFERROR(VLOOKUP(E256,배송지!A:C,2,0)," ")</f>
        <v> </v>
      </c>
      <c r="K256" s="44"/>
      <c r="L256" s="44" t="str">
        <f t="shared" si="12"/>
        <v>  </v>
      </c>
      <c r="M256" s="43"/>
      <c r="N256" s="44" t="str">
        <f> IFERROR(INDEX('상품정보(1)'!R:R,MATCH(발주서!P256,'상품정보(1)'!F:F,0))," ")</f>
        <v> </v>
      </c>
      <c r="O256" s="43"/>
      <c r="P256" s="44" t="str">
        <f>IFERROR(INDEX('상품정보(1)'!F:F,MATCH(발주서!O256,'상품정보(1)'!E:E,0))," ")</f>
        <v> </v>
      </c>
      <c r="Q256" s="49"/>
      <c r="R256" s="44">
        <f t="shared" si="13"/>
      </c>
      <c r="S256" s="44"/>
      <c r="T256" s="44">
        <f t="shared" si="14"/>
      </c>
      <c r="U256" s="44"/>
      <c r="V256" s="44"/>
      <c r="W256" s="44"/>
      <c r="X256" s="44"/>
    </row>
    <row r="257" ht="15" customHeight="1" spans="1:24" x14ac:dyDescent="0.25">
      <c r="A257" s="40"/>
      <c r="B257" s="46"/>
      <c r="C257" s="42"/>
      <c r="D257" s="43"/>
      <c r="E257" s="10"/>
      <c r="F257" s="44"/>
      <c r="G257" s="45"/>
      <c r="H257" s="46" t="str">
        <f>IFERROR(VLOOKUP(E257,배송지!A:C,3,0)," ")</f>
        <v> </v>
      </c>
      <c r="I257" s="44"/>
      <c r="J257" s="44" t="str">
        <f>IFERROR(VLOOKUP(E257,배송지!A:C,2,0)," ")</f>
        <v> </v>
      </c>
      <c r="K257" s="44"/>
      <c r="L257" s="44" t="str">
        <f t="shared" si="12"/>
        <v>  </v>
      </c>
      <c r="M257" s="43"/>
      <c r="N257" s="44" t="str">
        <f> IFERROR(INDEX('상품정보(1)'!R:R,MATCH(발주서!P257,'상품정보(1)'!F:F,0))," ")</f>
        <v> </v>
      </c>
      <c r="O257" s="43"/>
      <c r="P257" s="44" t="str">
        <f>IFERROR(INDEX('상품정보(1)'!F:F,MATCH(발주서!O257,'상품정보(1)'!E:E,0))," ")</f>
        <v> </v>
      </c>
      <c r="Q257" s="49"/>
      <c r="R257" s="44">
        <f t="shared" si="13"/>
      </c>
      <c r="S257" s="44"/>
      <c r="T257" s="44">
        <f t="shared" si="14"/>
      </c>
      <c r="U257" s="44"/>
      <c r="V257" s="44"/>
      <c r="W257" s="44"/>
      <c r="X257" s="44"/>
    </row>
    <row r="258" ht="15" customHeight="1" spans="1:24" x14ac:dyDescent="0.25">
      <c r="A258" s="40"/>
      <c r="B258" s="46"/>
      <c r="C258" s="42"/>
      <c r="D258" s="43"/>
      <c r="E258" s="10"/>
      <c r="F258" s="44"/>
      <c r="G258" s="45"/>
      <c r="H258" s="46" t="str">
        <f>IFERROR(VLOOKUP(E258,배송지!A:C,3,0)," ")</f>
        <v> </v>
      </c>
      <c r="I258" s="44"/>
      <c r="J258" s="44" t="str">
        <f>IFERROR(VLOOKUP(E258,배송지!A:C,2,0)," ")</f>
        <v> </v>
      </c>
      <c r="K258" s="44"/>
      <c r="L258" s="44" t="str">
        <f t="shared" ref="L258:L321" si="15">O258&amp;" "&amp;P258</f>
        <v>  </v>
      </c>
      <c r="M258" s="43"/>
      <c r="N258" s="44" t="str">
        <f> IFERROR(INDEX('상품정보(1)'!R:R,MATCH(발주서!P258,'상품정보(1)'!F:F,0))," ")</f>
        <v> </v>
      </c>
      <c r="O258" s="43"/>
      <c r="P258" s="44" t="str">
        <f>IFERROR(INDEX('상품정보(1)'!F:F,MATCH(발주서!O258,'상품정보(1)'!E:E,0))," ")</f>
        <v> </v>
      </c>
      <c r="Q258" s="49"/>
      <c r="R258" s="44">
        <f t="shared" ref="R258:R321" si="16">LEFT(T258,8)</f>
      </c>
      <c r="S258" s="44"/>
      <c r="T258" s="44">
        <f t="shared" ref="T258:T321" si="17">IF(Q258="","",Q258)</f>
      </c>
      <c r="U258" s="44"/>
      <c r="V258" s="44"/>
      <c r="W258" s="44"/>
      <c r="X258" s="44"/>
    </row>
    <row r="259" ht="15" customHeight="1" spans="1:24" x14ac:dyDescent="0.25">
      <c r="A259" s="40"/>
      <c r="B259" s="46"/>
      <c r="C259" s="42"/>
      <c r="D259" s="43"/>
      <c r="E259" s="10"/>
      <c r="F259" s="44"/>
      <c r="G259" s="45"/>
      <c r="H259" s="46" t="str">
        <f>IFERROR(VLOOKUP(E259,배송지!A:C,3,0)," ")</f>
        <v> </v>
      </c>
      <c r="I259" s="44"/>
      <c r="J259" s="44" t="str">
        <f>IFERROR(VLOOKUP(E259,배송지!A:C,2,0)," ")</f>
        <v> </v>
      </c>
      <c r="K259" s="44"/>
      <c r="L259" s="44" t="str">
        <f t="shared" si="15"/>
        <v>  </v>
      </c>
      <c r="M259" s="43"/>
      <c r="N259" s="44" t="str">
        <f> IFERROR(INDEX('상품정보(1)'!R:R,MATCH(발주서!P259,'상품정보(1)'!F:F,0))," ")</f>
        <v> </v>
      </c>
      <c r="O259" s="43"/>
      <c r="P259" s="44" t="str">
        <f>IFERROR(INDEX('상품정보(1)'!F:F,MATCH(발주서!O259,'상품정보(1)'!E:E,0))," ")</f>
        <v> </v>
      </c>
      <c r="Q259" s="49"/>
      <c r="R259" s="44">
        <f t="shared" si="16"/>
      </c>
      <c r="S259" s="44"/>
      <c r="T259" s="44">
        <f t="shared" si="17"/>
      </c>
      <c r="U259" s="44"/>
      <c r="V259" s="44"/>
      <c r="W259" s="44"/>
      <c r="X259" s="44"/>
    </row>
    <row r="260" ht="15" customHeight="1" spans="1:24" x14ac:dyDescent="0.25">
      <c r="A260" s="40"/>
      <c r="B260" s="46"/>
      <c r="C260" s="42"/>
      <c r="D260" s="43"/>
      <c r="E260" s="10"/>
      <c r="F260" s="44"/>
      <c r="G260" s="45"/>
      <c r="H260" s="46" t="str">
        <f>IFERROR(VLOOKUP(E260,배송지!A:C,3,0)," ")</f>
        <v> </v>
      </c>
      <c r="I260" s="44"/>
      <c r="J260" s="44" t="str">
        <f>IFERROR(VLOOKUP(E260,배송지!A:C,2,0)," ")</f>
        <v> </v>
      </c>
      <c r="K260" s="44"/>
      <c r="L260" s="44" t="str">
        <f t="shared" si="15"/>
        <v>  </v>
      </c>
      <c r="M260" s="43"/>
      <c r="N260" s="44" t="str">
        <f> IFERROR(INDEX('상품정보(1)'!R:R,MATCH(발주서!P260,'상품정보(1)'!F:F,0))," ")</f>
        <v> </v>
      </c>
      <c r="O260" s="43"/>
      <c r="P260" s="44" t="str">
        <f>IFERROR(INDEX('상품정보(1)'!F:F,MATCH(발주서!O260,'상품정보(1)'!E:E,0))," ")</f>
        <v> </v>
      </c>
      <c r="Q260" s="49"/>
      <c r="R260" s="44">
        <f t="shared" si="16"/>
      </c>
      <c r="S260" s="44"/>
      <c r="T260" s="44">
        <f t="shared" si="17"/>
      </c>
      <c r="U260" s="44"/>
      <c r="V260" s="44"/>
      <c r="W260" s="44"/>
      <c r="X260" s="44"/>
    </row>
    <row r="261" ht="15" customHeight="1" spans="1:24" x14ac:dyDescent="0.25">
      <c r="A261" s="40"/>
      <c r="B261" s="46"/>
      <c r="C261" s="42"/>
      <c r="D261" s="43"/>
      <c r="E261" s="10"/>
      <c r="F261" s="44"/>
      <c r="G261" s="45"/>
      <c r="H261" s="46" t="str">
        <f>IFERROR(VLOOKUP(E261,배송지!A:C,3,0)," ")</f>
        <v> </v>
      </c>
      <c r="I261" s="44"/>
      <c r="J261" s="44" t="str">
        <f>IFERROR(VLOOKUP(E261,배송지!A:C,2,0)," ")</f>
        <v> </v>
      </c>
      <c r="K261" s="44"/>
      <c r="L261" s="44" t="str">
        <f t="shared" si="15"/>
        <v>  </v>
      </c>
      <c r="M261" s="43"/>
      <c r="N261" s="44" t="str">
        <f> IFERROR(INDEX('상품정보(1)'!R:R,MATCH(발주서!P261,'상품정보(1)'!F:F,0))," ")</f>
        <v> </v>
      </c>
      <c r="O261" s="43"/>
      <c r="P261" s="44" t="str">
        <f>IFERROR(INDEX('상품정보(1)'!F:F,MATCH(발주서!O261,'상품정보(1)'!E:E,0))," ")</f>
        <v> </v>
      </c>
      <c r="Q261" s="49"/>
      <c r="R261" s="44">
        <f t="shared" si="16"/>
      </c>
      <c r="S261" s="44"/>
      <c r="T261" s="44">
        <f t="shared" si="17"/>
      </c>
      <c r="U261" s="44"/>
      <c r="V261" s="44"/>
      <c r="W261" s="44"/>
      <c r="X261" s="44"/>
    </row>
    <row r="262" ht="15" customHeight="1" spans="1:24" x14ac:dyDescent="0.25">
      <c r="A262" s="40"/>
      <c r="B262" s="46"/>
      <c r="C262" s="42"/>
      <c r="D262" s="43"/>
      <c r="E262" s="10"/>
      <c r="F262" s="44"/>
      <c r="G262" s="45"/>
      <c r="H262" s="46" t="str">
        <f>IFERROR(VLOOKUP(E262,배송지!A:C,3,0)," ")</f>
        <v> </v>
      </c>
      <c r="I262" s="44"/>
      <c r="J262" s="44" t="str">
        <f>IFERROR(VLOOKUP(E262,배송지!A:C,2,0)," ")</f>
        <v> </v>
      </c>
      <c r="K262" s="44"/>
      <c r="L262" s="44" t="str">
        <f t="shared" si="15"/>
        <v>  </v>
      </c>
      <c r="M262" s="43"/>
      <c r="N262" s="44" t="str">
        <f> IFERROR(INDEX('상품정보(1)'!R:R,MATCH(발주서!P262,'상품정보(1)'!F:F,0))," ")</f>
        <v> </v>
      </c>
      <c r="O262" s="43"/>
      <c r="P262" s="44" t="str">
        <f>IFERROR(INDEX('상품정보(1)'!F:F,MATCH(발주서!O262,'상품정보(1)'!E:E,0))," ")</f>
        <v> </v>
      </c>
      <c r="Q262" s="49"/>
      <c r="R262" s="44">
        <f t="shared" si="16"/>
      </c>
      <c r="S262" s="44"/>
      <c r="T262" s="44">
        <f t="shared" si="17"/>
      </c>
      <c r="U262" s="44"/>
      <c r="V262" s="44"/>
      <c r="W262" s="44"/>
      <c r="X262" s="44"/>
    </row>
    <row r="263" ht="15" customHeight="1" spans="1:24" x14ac:dyDescent="0.25">
      <c r="A263" s="40"/>
      <c r="B263" s="46"/>
      <c r="C263" s="42"/>
      <c r="D263" s="43"/>
      <c r="E263" s="10"/>
      <c r="F263" s="44"/>
      <c r="G263" s="45"/>
      <c r="H263" s="46" t="str">
        <f>IFERROR(VLOOKUP(E263,배송지!A:C,3,0)," ")</f>
        <v> </v>
      </c>
      <c r="I263" s="44"/>
      <c r="J263" s="44" t="str">
        <f>IFERROR(VLOOKUP(E263,배송지!A:C,2,0)," ")</f>
        <v> </v>
      </c>
      <c r="K263" s="44"/>
      <c r="L263" s="44" t="str">
        <f t="shared" si="15"/>
        <v>  </v>
      </c>
      <c r="M263" s="43"/>
      <c r="N263" s="44" t="str">
        <f> IFERROR(INDEX('상품정보(1)'!R:R,MATCH(발주서!P263,'상품정보(1)'!F:F,0))," ")</f>
        <v> </v>
      </c>
      <c r="O263" s="43"/>
      <c r="P263" s="44" t="str">
        <f>IFERROR(INDEX('상품정보(1)'!F:F,MATCH(발주서!O263,'상품정보(1)'!E:E,0))," ")</f>
        <v> </v>
      </c>
      <c r="Q263" s="49"/>
      <c r="R263" s="44">
        <f t="shared" si="16"/>
      </c>
      <c r="S263" s="44"/>
      <c r="T263" s="44">
        <f t="shared" si="17"/>
      </c>
      <c r="U263" s="44"/>
      <c r="V263" s="44"/>
      <c r="W263" s="44"/>
      <c r="X263" s="44"/>
    </row>
    <row r="264" ht="15" customHeight="1" spans="1:24" x14ac:dyDescent="0.25">
      <c r="A264" s="40"/>
      <c r="B264" s="46"/>
      <c r="C264" s="42"/>
      <c r="D264" s="43"/>
      <c r="E264" s="10"/>
      <c r="F264" s="44"/>
      <c r="G264" s="45"/>
      <c r="H264" s="46" t="str">
        <f>IFERROR(VLOOKUP(E264,배송지!A:C,3,0)," ")</f>
        <v> </v>
      </c>
      <c r="I264" s="44"/>
      <c r="J264" s="44" t="str">
        <f>IFERROR(VLOOKUP(E264,배송지!A:C,2,0)," ")</f>
        <v> </v>
      </c>
      <c r="K264" s="44"/>
      <c r="L264" s="44" t="str">
        <f t="shared" si="15"/>
        <v>  </v>
      </c>
      <c r="M264" s="43"/>
      <c r="N264" s="44" t="str">
        <f> IFERROR(INDEX('상품정보(1)'!R:R,MATCH(발주서!P264,'상품정보(1)'!F:F,0))," ")</f>
        <v> </v>
      </c>
      <c r="O264" s="43"/>
      <c r="P264" s="44" t="str">
        <f>IFERROR(INDEX('상품정보(1)'!F:F,MATCH(발주서!O264,'상품정보(1)'!E:E,0))," ")</f>
        <v> </v>
      </c>
      <c r="Q264" s="49"/>
      <c r="R264" s="44">
        <f t="shared" si="16"/>
      </c>
      <c r="S264" s="44"/>
      <c r="T264" s="44">
        <f t="shared" si="17"/>
      </c>
      <c r="U264" s="44"/>
      <c r="V264" s="44"/>
      <c r="W264" s="44"/>
      <c r="X264" s="44"/>
    </row>
    <row r="265" ht="15" customHeight="1" spans="1:24" x14ac:dyDescent="0.25">
      <c r="A265" s="40"/>
      <c r="B265" s="46"/>
      <c r="C265" s="42"/>
      <c r="D265" s="43"/>
      <c r="E265" s="10"/>
      <c r="F265" s="44"/>
      <c r="G265" s="45"/>
      <c r="H265" s="46" t="str">
        <f>IFERROR(VLOOKUP(E265,배송지!A:C,3,0)," ")</f>
        <v> </v>
      </c>
      <c r="I265" s="44"/>
      <c r="J265" s="44" t="str">
        <f>IFERROR(VLOOKUP(E265,배송지!A:C,2,0)," ")</f>
        <v> </v>
      </c>
      <c r="K265" s="44"/>
      <c r="L265" s="44" t="str">
        <f t="shared" si="15"/>
        <v>  </v>
      </c>
      <c r="M265" s="43"/>
      <c r="N265" s="44" t="str">
        <f> IFERROR(INDEX('상품정보(1)'!R:R,MATCH(발주서!P265,'상품정보(1)'!F:F,0))," ")</f>
        <v> </v>
      </c>
      <c r="O265" s="43"/>
      <c r="P265" s="44" t="str">
        <f>IFERROR(INDEX('상품정보(1)'!F:F,MATCH(발주서!O265,'상품정보(1)'!E:E,0))," ")</f>
        <v> </v>
      </c>
      <c r="Q265" s="49"/>
      <c r="R265" s="44">
        <f t="shared" si="16"/>
      </c>
      <c r="S265" s="44"/>
      <c r="T265" s="44">
        <f t="shared" si="17"/>
      </c>
      <c r="U265" s="44"/>
      <c r="V265" s="44"/>
      <c r="W265" s="44"/>
      <c r="X265" s="44"/>
    </row>
    <row r="266" ht="15" customHeight="1" spans="1:24" x14ac:dyDescent="0.25">
      <c r="A266" s="40"/>
      <c r="B266" s="46"/>
      <c r="C266" s="42"/>
      <c r="D266" s="43"/>
      <c r="E266" s="10"/>
      <c r="F266" s="44"/>
      <c r="G266" s="45"/>
      <c r="H266" s="46" t="str">
        <f>IFERROR(VLOOKUP(E266,배송지!A:C,3,0)," ")</f>
        <v> </v>
      </c>
      <c r="I266" s="44"/>
      <c r="J266" s="44" t="str">
        <f>IFERROR(VLOOKUP(E266,배송지!A:C,2,0)," ")</f>
        <v> </v>
      </c>
      <c r="K266" s="44"/>
      <c r="L266" s="44" t="str">
        <f t="shared" si="15"/>
        <v>  </v>
      </c>
      <c r="M266" s="43"/>
      <c r="N266" s="44" t="str">
        <f> IFERROR(INDEX('상품정보(1)'!R:R,MATCH(발주서!P266,'상품정보(1)'!F:F,0))," ")</f>
        <v> </v>
      </c>
      <c r="O266" s="43"/>
      <c r="P266" s="44" t="str">
        <f>IFERROR(INDEX('상품정보(1)'!F:F,MATCH(발주서!O266,'상품정보(1)'!E:E,0))," ")</f>
        <v> </v>
      </c>
      <c r="Q266" s="49"/>
      <c r="R266" s="44">
        <f t="shared" si="16"/>
      </c>
      <c r="S266" s="44"/>
      <c r="T266" s="44">
        <f t="shared" si="17"/>
      </c>
      <c r="U266" s="44"/>
      <c r="V266" s="44"/>
      <c r="W266" s="44"/>
      <c r="X266" s="44"/>
    </row>
    <row r="267" ht="15" customHeight="1" spans="1:24" x14ac:dyDescent="0.25">
      <c r="A267" s="40"/>
      <c r="B267" s="46"/>
      <c r="C267" s="42"/>
      <c r="D267" s="43"/>
      <c r="E267" s="10"/>
      <c r="F267" s="44"/>
      <c r="G267" s="45"/>
      <c r="H267" s="46" t="str">
        <f>IFERROR(VLOOKUP(E267,배송지!A:C,3,0)," ")</f>
        <v> </v>
      </c>
      <c r="I267" s="44"/>
      <c r="J267" s="44" t="str">
        <f>IFERROR(VLOOKUP(E267,배송지!A:C,2,0)," ")</f>
        <v> </v>
      </c>
      <c r="K267" s="44"/>
      <c r="L267" s="44" t="str">
        <f t="shared" si="15"/>
        <v>  </v>
      </c>
      <c r="M267" s="43"/>
      <c r="N267" s="44" t="str">
        <f> IFERROR(INDEX('상품정보(1)'!R:R,MATCH(발주서!P267,'상품정보(1)'!F:F,0))," ")</f>
        <v> </v>
      </c>
      <c r="O267" s="43"/>
      <c r="P267" s="44" t="str">
        <f>IFERROR(INDEX('상품정보(1)'!F:F,MATCH(발주서!O267,'상품정보(1)'!E:E,0))," ")</f>
        <v> </v>
      </c>
      <c r="Q267" s="49"/>
      <c r="R267" s="44">
        <f t="shared" si="16"/>
      </c>
      <c r="S267" s="44"/>
      <c r="T267" s="44">
        <f t="shared" si="17"/>
      </c>
      <c r="U267" s="44"/>
      <c r="V267" s="44"/>
      <c r="W267" s="44"/>
      <c r="X267" s="44"/>
    </row>
    <row r="268" ht="15" customHeight="1" spans="1:24" x14ac:dyDescent="0.25">
      <c r="A268" s="40"/>
      <c r="B268" s="46"/>
      <c r="C268" s="42"/>
      <c r="D268" s="43"/>
      <c r="E268" s="10"/>
      <c r="F268" s="44"/>
      <c r="G268" s="45"/>
      <c r="H268" s="46" t="str">
        <f>IFERROR(VLOOKUP(E268,배송지!A:C,3,0)," ")</f>
        <v> </v>
      </c>
      <c r="I268" s="44"/>
      <c r="J268" s="44" t="str">
        <f>IFERROR(VLOOKUP(E268,배송지!A:C,2,0)," ")</f>
        <v> </v>
      </c>
      <c r="K268" s="44"/>
      <c r="L268" s="44" t="str">
        <f t="shared" si="15"/>
        <v>  </v>
      </c>
      <c r="M268" s="43"/>
      <c r="N268" s="44" t="str">
        <f> IFERROR(INDEX('상품정보(1)'!R:R,MATCH(발주서!P268,'상품정보(1)'!F:F,0))," ")</f>
        <v> </v>
      </c>
      <c r="O268" s="43"/>
      <c r="P268" s="44" t="str">
        <f>IFERROR(INDEX('상품정보(1)'!F:F,MATCH(발주서!O268,'상품정보(1)'!E:E,0))," ")</f>
        <v> </v>
      </c>
      <c r="Q268" s="49"/>
      <c r="R268" s="44">
        <f t="shared" si="16"/>
      </c>
      <c r="S268" s="44"/>
      <c r="T268" s="44">
        <f t="shared" si="17"/>
      </c>
      <c r="U268" s="44"/>
      <c r="V268" s="44"/>
      <c r="W268" s="44"/>
      <c r="X268" s="44"/>
    </row>
    <row r="269" ht="15" customHeight="1" spans="1:24" x14ac:dyDescent="0.25">
      <c r="A269" s="40"/>
      <c r="B269" s="46"/>
      <c r="C269" s="42"/>
      <c r="D269" s="43"/>
      <c r="E269" s="10"/>
      <c r="F269" s="44"/>
      <c r="G269" s="45"/>
      <c r="H269" s="46" t="str">
        <f>IFERROR(VLOOKUP(E269,배송지!A:C,3,0)," ")</f>
        <v> </v>
      </c>
      <c r="I269" s="44"/>
      <c r="J269" s="44" t="str">
        <f>IFERROR(VLOOKUP(E269,배송지!A:C,2,0)," ")</f>
        <v> </v>
      </c>
      <c r="K269" s="44"/>
      <c r="L269" s="44" t="str">
        <f t="shared" si="15"/>
        <v>  </v>
      </c>
      <c r="M269" s="43"/>
      <c r="N269" s="44" t="str">
        <f> IFERROR(INDEX('상품정보(1)'!R:R,MATCH(발주서!P269,'상품정보(1)'!F:F,0))," ")</f>
        <v> </v>
      </c>
      <c r="O269" s="43"/>
      <c r="P269" s="44" t="str">
        <f>IFERROR(INDEX('상품정보(1)'!F:F,MATCH(발주서!O269,'상품정보(1)'!E:E,0))," ")</f>
        <v> </v>
      </c>
      <c r="Q269" s="49"/>
      <c r="R269" s="44">
        <f t="shared" si="16"/>
      </c>
      <c r="S269" s="44"/>
      <c r="T269" s="44">
        <f t="shared" si="17"/>
      </c>
      <c r="U269" s="44"/>
      <c r="V269" s="44"/>
      <c r="W269" s="44"/>
      <c r="X269" s="44"/>
    </row>
    <row r="270" ht="15" customHeight="1" spans="1:24" x14ac:dyDescent="0.25">
      <c r="A270" s="40"/>
      <c r="B270" s="46"/>
      <c r="C270" s="42"/>
      <c r="D270" s="43"/>
      <c r="E270" s="10"/>
      <c r="F270" s="44"/>
      <c r="G270" s="45"/>
      <c r="H270" s="46" t="str">
        <f>IFERROR(VLOOKUP(E270,배송지!A:C,3,0)," ")</f>
        <v> </v>
      </c>
      <c r="I270" s="44"/>
      <c r="J270" s="44" t="str">
        <f>IFERROR(VLOOKUP(E270,배송지!A:C,2,0)," ")</f>
        <v> </v>
      </c>
      <c r="K270" s="44"/>
      <c r="L270" s="44" t="str">
        <f t="shared" si="15"/>
        <v>  </v>
      </c>
      <c r="M270" s="43"/>
      <c r="N270" s="44" t="str">
        <f> IFERROR(INDEX('상품정보(1)'!R:R,MATCH(발주서!P270,'상품정보(1)'!F:F,0))," ")</f>
        <v> </v>
      </c>
      <c r="O270" s="43"/>
      <c r="P270" s="44" t="str">
        <f>IFERROR(INDEX('상품정보(1)'!F:F,MATCH(발주서!O270,'상품정보(1)'!E:E,0))," ")</f>
        <v> </v>
      </c>
      <c r="Q270" s="49"/>
      <c r="R270" s="44">
        <f t="shared" si="16"/>
      </c>
      <c r="S270" s="44"/>
      <c r="T270" s="44">
        <f t="shared" si="17"/>
      </c>
      <c r="U270" s="44"/>
      <c r="V270" s="44"/>
      <c r="W270" s="44"/>
      <c r="X270" s="44"/>
    </row>
    <row r="271" ht="15" customHeight="1" spans="1:24" x14ac:dyDescent="0.25">
      <c r="A271" s="40"/>
      <c r="B271" s="46"/>
      <c r="C271" s="42"/>
      <c r="D271" s="43"/>
      <c r="E271" s="10"/>
      <c r="F271" s="44"/>
      <c r="G271" s="45"/>
      <c r="H271" s="46" t="str">
        <f>IFERROR(VLOOKUP(E271,배송지!A:C,3,0)," ")</f>
        <v> </v>
      </c>
      <c r="I271" s="44"/>
      <c r="J271" s="44" t="str">
        <f>IFERROR(VLOOKUP(E271,배송지!A:C,2,0)," ")</f>
        <v> </v>
      </c>
      <c r="K271" s="44"/>
      <c r="L271" s="44" t="str">
        <f t="shared" si="15"/>
        <v>  </v>
      </c>
      <c r="M271" s="43"/>
      <c r="N271" s="44" t="str">
        <f> IFERROR(INDEX('상품정보(1)'!R:R,MATCH(발주서!P271,'상품정보(1)'!F:F,0))," ")</f>
        <v> </v>
      </c>
      <c r="O271" s="43"/>
      <c r="P271" s="44" t="str">
        <f>IFERROR(INDEX('상품정보(1)'!F:F,MATCH(발주서!O271,'상품정보(1)'!E:E,0))," ")</f>
        <v> </v>
      </c>
      <c r="Q271" s="49"/>
      <c r="R271" s="44">
        <f t="shared" si="16"/>
      </c>
      <c r="S271" s="44"/>
      <c r="T271" s="44">
        <f t="shared" si="17"/>
      </c>
      <c r="U271" s="44"/>
      <c r="V271" s="44"/>
      <c r="W271" s="44"/>
      <c r="X271" s="44"/>
    </row>
    <row r="272" ht="15" customHeight="1" spans="1:24" x14ac:dyDescent="0.25">
      <c r="A272" s="40"/>
      <c r="B272" s="46"/>
      <c r="C272" s="42"/>
      <c r="D272" s="43"/>
      <c r="E272" s="10"/>
      <c r="F272" s="44"/>
      <c r="G272" s="45"/>
      <c r="H272" s="46" t="str">
        <f>IFERROR(VLOOKUP(E272,배송지!A:C,3,0)," ")</f>
        <v> </v>
      </c>
      <c r="I272" s="44"/>
      <c r="J272" s="44" t="str">
        <f>IFERROR(VLOOKUP(E272,배송지!A:C,2,0)," ")</f>
        <v> </v>
      </c>
      <c r="K272" s="44"/>
      <c r="L272" s="44" t="str">
        <f t="shared" si="15"/>
        <v>  </v>
      </c>
      <c r="M272" s="43"/>
      <c r="N272" s="44" t="str">
        <f> IFERROR(INDEX('상품정보(1)'!R:R,MATCH(발주서!P272,'상품정보(1)'!F:F,0))," ")</f>
        <v> </v>
      </c>
      <c r="O272" s="43"/>
      <c r="P272" s="44" t="str">
        <f>IFERROR(INDEX('상품정보(1)'!F:F,MATCH(발주서!O272,'상품정보(1)'!E:E,0))," ")</f>
        <v> </v>
      </c>
      <c r="Q272" s="49"/>
      <c r="R272" s="44">
        <f t="shared" si="16"/>
      </c>
      <c r="S272" s="44"/>
      <c r="T272" s="44">
        <f t="shared" si="17"/>
      </c>
      <c r="U272" s="44"/>
      <c r="V272" s="44"/>
      <c r="W272" s="44"/>
      <c r="X272" s="44"/>
    </row>
    <row r="273" ht="15" customHeight="1" spans="1:24" x14ac:dyDescent="0.25">
      <c r="A273" s="40"/>
      <c r="B273" s="46"/>
      <c r="C273" s="42"/>
      <c r="D273" s="43"/>
      <c r="E273" s="10"/>
      <c r="F273" s="44"/>
      <c r="G273" s="45"/>
      <c r="H273" s="46" t="str">
        <f>IFERROR(VLOOKUP(E273,배송지!A:C,3,0)," ")</f>
        <v> </v>
      </c>
      <c r="I273" s="44"/>
      <c r="J273" s="44" t="str">
        <f>IFERROR(VLOOKUP(E273,배송지!A:C,2,0)," ")</f>
        <v> </v>
      </c>
      <c r="K273" s="44"/>
      <c r="L273" s="44" t="str">
        <f t="shared" si="15"/>
        <v>  </v>
      </c>
      <c r="M273" s="43"/>
      <c r="N273" s="44" t="str">
        <f> IFERROR(INDEX('상품정보(1)'!R:R,MATCH(발주서!P273,'상품정보(1)'!F:F,0))," ")</f>
        <v> </v>
      </c>
      <c r="O273" s="43"/>
      <c r="P273" s="44" t="str">
        <f>IFERROR(INDEX('상품정보(1)'!F:F,MATCH(발주서!O273,'상품정보(1)'!E:E,0))," ")</f>
        <v> </v>
      </c>
      <c r="Q273" s="49"/>
      <c r="R273" s="44">
        <f t="shared" si="16"/>
      </c>
      <c r="S273" s="44"/>
      <c r="T273" s="44">
        <f t="shared" si="17"/>
      </c>
      <c r="U273" s="44"/>
      <c r="V273" s="44"/>
      <c r="W273" s="44"/>
      <c r="X273" s="44"/>
    </row>
    <row r="274" ht="15" customHeight="1" spans="1:24" x14ac:dyDescent="0.25">
      <c r="A274" s="40"/>
      <c r="B274" s="46"/>
      <c r="C274" s="42"/>
      <c r="D274" s="43"/>
      <c r="E274" s="10"/>
      <c r="F274" s="44"/>
      <c r="G274" s="45"/>
      <c r="H274" s="46" t="str">
        <f>IFERROR(VLOOKUP(E274,배송지!A:C,3,0)," ")</f>
        <v> </v>
      </c>
      <c r="I274" s="44"/>
      <c r="J274" s="44" t="str">
        <f>IFERROR(VLOOKUP(E274,배송지!A:C,2,0)," ")</f>
        <v> </v>
      </c>
      <c r="K274" s="44"/>
      <c r="L274" s="44" t="str">
        <f t="shared" si="15"/>
        <v>  </v>
      </c>
      <c r="M274" s="43"/>
      <c r="N274" s="44" t="str">
        <f> IFERROR(INDEX('상품정보(1)'!R:R,MATCH(발주서!P274,'상품정보(1)'!F:F,0))," ")</f>
        <v> </v>
      </c>
      <c r="O274" s="43"/>
      <c r="P274" s="44" t="str">
        <f>IFERROR(INDEX('상품정보(1)'!F:F,MATCH(발주서!O274,'상품정보(1)'!E:E,0))," ")</f>
        <v> </v>
      </c>
      <c r="Q274" s="49"/>
      <c r="R274" s="44">
        <f t="shared" si="16"/>
      </c>
      <c r="S274" s="44"/>
      <c r="T274" s="44">
        <f t="shared" si="17"/>
      </c>
      <c r="U274" s="44"/>
      <c r="V274" s="44"/>
      <c r="W274" s="44"/>
      <c r="X274" s="44"/>
    </row>
    <row r="275" ht="15" customHeight="1" spans="1:24" x14ac:dyDescent="0.25">
      <c r="A275" s="40"/>
      <c r="B275" s="46"/>
      <c r="C275" s="42"/>
      <c r="D275" s="43"/>
      <c r="E275" s="10"/>
      <c r="F275" s="44"/>
      <c r="G275" s="45"/>
      <c r="H275" s="46" t="str">
        <f>IFERROR(VLOOKUP(E275,배송지!A:C,3,0)," ")</f>
        <v> </v>
      </c>
      <c r="I275" s="44"/>
      <c r="J275" s="44" t="str">
        <f>IFERROR(VLOOKUP(E275,배송지!A:C,2,0)," ")</f>
        <v> </v>
      </c>
      <c r="K275" s="44"/>
      <c r="L275" s="44" t="str">
        <f t="shared" si="15"/>
        <v>  </v>
      </c>
      <c r="M275" s="43"/>
      <c r="N275" s="44" t="str">
        <f> IFERROR(INDEX('상품정보(1)'!R:R,MATCH(발주서!P275,'상품정보(1)'!F:F,0))," ")</f>
        <v> </v>
      </c>
      <c r="O275" s="43"/>
      <c r="P275" s="44" t="str">
        <f>IFERROR(INDEX('상품정보(1)'!F:F,MATCH(발주서!O275,'상품정보(1)'!E:E,0))," ")</f>
        <v> </v>
      </c>
      <c r="Q275" s="49"/>
      <c r="R275" s="44">
        <f t="shared" si="16"/>
      </c>
      <c r="S275" s="44"/>
      <c r="T275" s="44">
        <f t="shared" si="17"/>
      </c>
      <c r="U275" s="44"/>
      <c r="V275" s="44"/>
      <c r="W275" s="44"/>
      <c r="X275" s="44"/>
    </row>
    <row r="276" ht="15" customHeight="1" spans="1:24" x14ac:dyDescent="0.25">
      <c r="A276" s="40"/>
      <c r="B276" s="46"/>
      <c r="C276" s="42"/>
      <c r="D276" s="43"/>
      <c r="E276" s="10"/>
      <c r="F276" s="44"/>
      <c r="G276" s="45"/>
      <c r="H276" s="46" t="str">
        <f>IFERROR(VLOOKUP(E276,배송지!A:C,3,0)," ")</f>
        <v> </v>
      </c>
      <c r="I276" s="44"/>
      <c r="J276" s="44" t="str">
        <f>IFERROR(VLOOKUP(E276,배송지!A:C,2,0)," ")</f>
        <v> </v>
      </c>
      <c r="K276" s="44"/>
      <c r="L276" s="44" t="str">
        <f t="shared" si="15"/>
        <v>  </v>
      </c>
      <c r="M276" s="43"/>
      <c r="N276" s="44" t="str">
        <f> IFERROR(INDEX('상품정보(1)'!R:R,MATCH(발주서!P276,'상품정보(1)'!F:F,0))," ")</f>
        <v> </v>
      </c>
      <c r="O276" s="43"/>
      <c r="P276" s="44" t="str">
        <f>IFERROR(INDEX('상품정보(1)'!F:F,MATCH(발주서!O276,'상품정보(1)'!E:E,0))," ")</f>
        <v> </v>
      </c>
      <c r="Q276" s="49"/>
      <c r="R276" s="44">
        <f t="shared" si="16"/>
      </c>
      <c r="S276" s="44"/>
      <c r="T276" s="44">
        <f t="shared" si="17"/>
      </c>
      <c r="U276" s="44"/>
      <c r="V276" s="44"/>
      <c r="W276" s="44"/>
      <c r="X276" s="44"/>
    </row>
    <row r="277" ht="15" customHeight="1" spans="1:24" x14ac:dyDescent="0.25">
      <c r="A277" s="40"/>
      <c r="B277" s="46"/>
      <c r="C277" s="42"/>
      <c r="D277" s="43"/>
      <c r="E277" s="10"/>
      <c r="F277" s="44"/>
      <c r="G277" s="45"/>
      <c r="H277" s="46" t="str">
        <f>IFERROR(VLOOKUP(E277,배송지!A:C,3,0)," ")</f>
        <v> </v>
      </c>
      <c r="I277" s="44"/>
      <c r="J277" s="44" t="str">
        <f>IFERROR(VLOOKUP(E277,배송지!A:C,2,0)," ")</f>
        <v> </v>
      </c>
      <c r="K277" s="44"/>
      <c r="L277" s="44" t="str">
        <f t="shared" si="15"/>
        <v>  </v>
      </c>
      <c r="M277" s="43"/>
      <c r="N277" s="44" t="str">
        <f> IFERROR(INDEX('상품정보(1)'!R:R,MATCH(발주서!P277,'상품정보(1)'!F:F,0))," ")</f>
        <v> </v>
      </c>
      <c r="O277" s="43"/>
      <c r="P277" s="44" t="str">
        <f>IFERROR(INDEX('상품정보(1)'!F:F,MATCH(발주서!O277,'상품정보(1)'!E:E,0))," ")</f>
        <v> </v>
      </c>
      <c r="Q277" s="49"/>
      <c r="R277" s="44">
        <f t="shared" si="16"/>
      </c>
      <c r="S277" s="44"/>
      <c r="T277" s="44">
        <f t="shared" si="17"/>
      </c>
      <c r="U277" s="44"/>
      <c r="V277" s="44"/>
      <c r="W277" s="44"/>
      <c r="X277" s="44"/>
    </row>
    <row r="278" ht="15" customHeight="1" spans="1:24" x14ac:dyDescent="0.25">
      <c r="A278" s="40"/>
      <c r="B278" s="46"/>
      <c r="C278" s="42"/>
      <c r="D278" s="43"/>
      <c r="E278" s="10"/>
      <c r="F278" s="44"/>
      <c r="G278" s="45"/>
      <c r="H278" s="46" t="str">
        <f>IFERROR(VLOOKUP(E278,배송지!A:C,3,0)," ")</f>
        <v> </v>
      </c>
      <c r="I278" s="44"/>
      <c r="J278" s="44" t="str">
        <f>IFERROR(VLOOKUP(E278,배송지!A:C,2,0)," ")</f>
        <v> </v>
      </c>
      <c r="K278" s="44"/>
      <c r="L278" s="44" t="str">
        <f t="shared" si="15"/>
        <v>  </v>
      </c>
      <c r="M278" s="43"/>
      <c r="N278" s="44" t="str">
        <f> IFERROR(INDEX('상품정보(1)'!R:R,MATCH(발주서!P278,'상품정보(1)'!F:F,0))," ")</f>
        <v> </v>
      </c>
      <c r="O278" s="43"/>
      <c r="P278" s="44" t="str">
        <f>IFERROR(INDEX('상품정보(1)'!F:F,MATCH(발주서!O278,'상품정보(1)'!E:E,0))," ")</f>
        <v> </v>
      </c>
      <c r="Q278" s="49"/>
      <c r="R278" s="44">
        <f t="shared" si="16"/>
      </c>
      <c r="S278" s="44"/>
      <c r="T278" s="44">
        <f t="shared" si="17"/>
      </c>
      <c r="U278" s="44"/>
      <c r="V278" s="44"/>
      <c r="W278" s="44"/>
      <c r="X278" s="44"/>
    </row>
    <row r="279" ht="15" customHeight="1" spans="1:24" x14ac:dyDescent="0.25">
      <c r="A279" s="40"/>
      <c r="B279" s="46"/>
      <c r="C279" s="42"/>
      <c r="D279" s="43"/>
      <c r="E279" s="10"/>
      <c r="F279" s="44"/>
      <c r="G279" s="45"/>
      <c r="H279" s="46" t="str">
        <f>IFERROR(VLOOKUP(E279,배송지!A:C,3,0)," ")</f>
        <v> </v>
      </c>
      <c r="I279" s="44"/>
      <c r="J279" s="44" t="str">
        <f>IFERROR(VLOOKUP(E279,배송지!A:C,2,0)," ")</f>
        <v> </v>
      </c>
      <c r="K279" s="44"/>
      <c r="L279" s="44" t="str">
        <f t="shared" si="15"/>
        <v>  </v>
      </c>
      <c r="M279" s="43"/>
      <c r="N279" s="44" t="str">
        <f> IFERROR(INDEX('상품정보(1)'!R:R,MATCH(발주서!P279,'상품정보(1)'!F:F,0))," ")</f>
        <v> </v>
      </c>
      <c r="O279" s="43"/>
      <c r="P279" s="44" t="str">
        <f>IFERROR(INDEX('상품정보(1)'!F:F,MATCH(발주서!O279,'상품정보(1)'!E:E,0))," ")</f>
        <v> </v>
      </c>
      <c r="Q279" s="49"/>
      <c r="R279" s="44">
        <f t="shared" si="16"/>
      </c>
      <c r="S279" s="44"/>
      <c r="T279" s="44">
        <f t="shared" si="17"/>
      </c>
      <c r="U279" s="44"/>
      <c r="V279" s="44"/>
      <c r="W279" s="44"/>
      <c r="X279" s="44"/>
    </row>
    <row r="280" ht="15" customHeight="1" spans="1:24" x14ac:dyDescent="0.25">
      <c r="A280" s="40"/>
      <c r="B280" s="46"/>
      <c r="C280" s="42"/>
      <c r="D280" s="43"/>
      <c r="E280" s="10"/>
      <c r="F280" s="44"/>
      <c r="G280" s="45"/>
      <c r="H280" s="46" t="str">
        <f>IFERROR(VLOOKUP(E280,배송지!A:C,3,0)," ")</f>
        <v> </v>
      </c>
      <c r="I280" s="44"/>
      <c r="J280" s="44" t="str">
        <f>IFERROR(VLOOKUP(E280,배송지!A:C,2,0)," ")</f>
        <v> </v>
      </c>
      <c r="K280" s="44"/>
      <c r="L280" s="44" t="str">
        <f t="shared" si="15"/>
        <v>  </v>
      </c>
      <c r="M280" s="43"/>
      <c r="N280" s="44" t="str">
        <f> IFERROR(INDEX('상품정보(1)'!R:R,MATCH(발주서!P280,'상품정보(1)'!F:F,0))," ")</f>
        <v> </v>
      </c>
      <c r="O280" s="43"/>
      <c r="P280" s="44" t="str">
        <f>IFERROR(INDEX('상품정보(1)'!F:F,MATCH(발주서!O280,'상품정보(1)'!E:E,0))," ")</f>
        <v> </v>
      </c>
      <c r="Q280" s="49"/>
      <c r="R280" s="44">
        <f t="shared" si="16"/>
      </c>
      <c r="S280" s="44"/>
      <c r="T280" s="44">
        <f t="shared" si="17"/>
      </c>
      <c r="U280" s="44"/>
      <c r="V280" s="44"/>
      <c r="W280" s="44"/>
      <c r="X280" s="44"/>
    </row>
    <row r="281" ht="15" customHeight="1" spans="1:24" x14ac:dyDescent="0.25">
      <c r="A281" s="40"/>
      <c r="B281" s="46"/>
      <c r="C281" s="42"/>
      <c r="D281" s="43"/>
      <c r="E281" s="10"/>
      <c r="F281" s="44"/>
      <c r="G281" s="45"/>
      <c r="H281" s="46" t="str">
        <f>IFERROR(VLOOKUP(E281,배송지!A:C,3,0)," ")</f>
        <v> </v>
      </c>
      <c r="I281" s="44"/>
      <c r="J281" s="44" t="str">
        <f>IFERROR(VLOOKUP(E281,배송지!A:C,2,0)," ")</f>
        <v> </v>
      </c>
      <c r="K281" s="44"/>
      <c r="L281" s="44" t="str">
        <f t="shared" si="15"/>
        <v>  </v>
      </c>
      <c r="M281" s="43"/>
      <c r="N281" s="44" t="str">
        <f> IFERROR(INDEX('상품정보(1)'!R:R,MATCH(발주서!P281,'상품정보(1)'!F:F,0))," ")</f>
        <v> </v>
      </c>
      <c r="O281" s="43"/>
      <c r="P281" s="44" t="str">
        <f>IFERROR(INDEX('상품정보(1)'!F:F,MATCH(발주서!O281,'상품정보(1)'!E:E,0))," ")</f>
        <v> </v>
      </c>
      <c r="Q281" s="49"/>
      <c r="R281" s="44">
        <f t="shared" si="16"/>
      </c>
      <c r="S281" s="44"/>
      <c r="T281" s="44">
        <f t="shared" si="17"/>
      </c>
      <c r="U281" s="44"/>
      <c r="V281" s="44"/>
      <c r="W281" s="44"/>
      <c r="X281" s="44"/>
    </row>
    <row r="282" ht="15" customHeight="1" spans="1:24" x14ac:dyDescent="0.25">
      <c r="A282" s="40"/>
      <c r="B282" s="46"/>
      <c r="C282" s="42"/>
      <c r="D282" s="43"/>
      <c r="E282" s="10"/>
      <c r="F282" s="44"/>
      <c r="G282" s="45"/>
      <c r="H282" s="46" t="str">
        <f>IFERROR(VLOOKUP(E282,배송지!A:C,3,0)," ")</f>
        <v> </v>
      </c>
      <c r="I282" s="44"/>
      <c r="J282" s="44" t="str">
        <f>IFERROR(VLOOKUP(E282,배송지!A:C,2,0)," ")</f>
        <v> </v>
      </c>
      <c r="K282" s="44"/>
      <c r="L282" s="44" t="str">
        <f t="shared" si="15"/>
        <v>  </v>
      </c>
      <c r="M282" s="43"/>
      <c r="N282" s="44" t="str">
        <f> IFERROR(INDEX('상품정보(1)'!R:R,MATCH(발주서!P282,'상품정보(1)'!F:F,0))," ")</f>
        <v> </v>
      </c>
      <c r="O282" s="43"/>
      <c r="P282" s="44" t="str">
        <f>IFERROR(INDEX('상품정보(1)'!F:F,MATCH(발주서!O282,'상품정보(1)'!E:E,0))," ")</f>
        <v> </v>
      </c>
      <c r="Q282" s="49"/>
      <c r="R282" s="44">
        <f t="shared" si="16"/>
      </c>
      <c r="S282" s="44"/>
      <c r="T282" s="44">
        <f t="shared" si="17"/>
      </c>
      <c r="U282" s="44"/>
      <c r="V282" s="44"/>
      <c r="W282" s="44"/>
      <c r="X282" s="44"/>
    </row>
    <row r="283" ht="15" customHeight="1" spans="1:24" x14ac:dyDescent="0.25">
      <c r="A283" s="40"/>
      <c r="B283" s="46"/>
      <c r="C283" s="42"/>
      <c r="D283" s="43"/>
      <c r="E283" s="10"/>
      <c r="F283" s="44"/>
      <c r="G283" s="45"/>
      <c r="H283" s="46" t="str">
        <f>IFERROR(VLOOKUP(E283,배송지!A:C,3,0)," ")</f>
        <v> </v>
      </c>
      <c r="I283" s="44"/>
      <c r="J283" s="44" t="str">
        <f>IFERROR(VLOOKUP(E283,배송지!A:C,2,0)," ")</f>
        <v> </v>
      </c>
      <c r="K283" s="44"/>
      <c r="L283" s="44" t="str">
        <f t="shared" si="15"/>
        <v>  </v>
      </c>
      <c r="M283" s="43"/>
      <c r="N283" s="44" t="str">
        <f> IFERROR(INDEX('상품정보(1)'!R:R,MATCH(발주서!P283,'상품정보(1)'!F:F,0))," ")</f>
        <v> </v>
      </c>
      <c r="O283" s="43"/>
      <c r="P283" s="44" t="str">
        <f>IFERROR(INDEX('상품정보(1)'!F:F,MATCH(발주서!O283,'상품정보(1)'!E:E,0))," ")</f>
        <v> </v>
      </c>
      <c r="Q283" s="49"/>
      <c r="R283" s="44">
        <f t="shared" si="16"/>
      </c>
      <c r="S283" s="44"/>
      <c r="T283" s="44">
        <f t="shared" si="17"/>
      </c>
      <c r="U283" s="44"/>
      <c r="V283" s="44"/>
      <c r="W283" s="44"/>
      <c r="X283" s="44"/>
    </row>
    <row r="284" ht="15" customHeight="1" spans="1:24" x14ac:dyDescent="0.25">
      <c r="A284" s="40"/>
      <c r="B284" s="46"/>
      <c r="C284" s="42"/>
      <c r="D284" s="43"/>
      <c r="E284" s="10"/>
      <c r="F284" s="44"/>
      <c r="G284" s="45"/>
      <c r="H284" s="46" t="str">
        <f>IFERROR(VLOOKUP(E284,배송지!A:C,3,0)," ")</f>
        <v> </v>
      </c>
      <c r="I284" s="44"/>
      <c r="J284" s="44" t="str">
        <f>IFERROR(VLOOKUP(E284,배송지!A:C,2,0)," ")</f>
        <v> </v>
      </c>
      <c r="K284" s="44"/>
      <c r="L284" s="44" t="str">
        <f t="shared" si="15"/>
        <v>  </v>
      </c>
      <c r="M284" s="43"/>
      <c r="N284" s="44" t="str">
        <f> IFERROR(INDEX('상품정보(1)'!R:R,MATCH(발주서!P284,'상품정보(1)'!F:F,0))," ")</f>
        <v> </v>
      </c>
      <c r="O284" s="43"/>
      <c r="P284" s="44" t="str">
        <f>IFERROR(INDEX('상품정보(1)'!F:F,MATCH(발주서!O284,'상품정보(1)'!E:E,0))," ")</f>
        <v> </v>
      </c>
      <c r="Q284" s="49"/>
      <c r="R284" s="44">
        <f t="shared" si="16"/>
      </c>
      <c r="S284" s="44"/>
      <c r="T284" s="44">
        <f t="shared" si="17"/>
      </c>
      <c r="U284" s="44"/>
      <c r="V284" s="44"/>
      <c r="W284" s="44"/>
      <c r="X284" s="44"/>
    </row>
    <row r="285" ht="15" customHeight="1" spans="1:24" x14ac:dyDescent="0.25">
      <c r="A285" s="40"/>
      <c r="B285" s="46"/>
      <c r="C285" s="42"/>
      <c r="D285" s="43"/>
      <c r="E285" s="10"/>
      <c r="F285" s="44"/>
      <c r="G285" s="45"/>
      <c r="H285" s="46" t="str">
        <f>IFERROR(VLOOKUP(E285,배송지!A:C,3,0)," ")</f>
        <v> </v>
      </c>
      <c r="I285" s="44"/>
      <c r="J285" s="44" t="str">
        <f>IFERROR(VLOOKUP(E285,배송지!A:C,2,0)," ")</f>
        <v> </v>
      </c>
      <c r="K285" s="44"/>
      <c r="L285" s="44" t="str">
        <f t="shared" si="15"/>
        <v>  </v>
      </c>
      <c r="M285" s="43"/>
      <c r="N285" s="44" t="str">
        <f> IFERROR(INDEX('상품정보(1)'!R:R,MATCH(발주서!P285,'상품정보(1)'!F:F,0))," ")</f>
        <v> </v>
      </c>
      <c r="O285" s="43"/>
      <c r="P285" s="44" t="str">
        <f>IFERROR(INDEX('상품정보(1)'!F:F,MATCH(발주서!O285,'상품정보(1)'!E:E,0))," ")</f>
        <v> </v>
      </c>
      <c r="Q285" s="49"/>
      <c r="R285" s="44">
        <f t="shared" si="16"/>
      </c>
      <c r="S285" s="44"/>
      <c r="T285" s="44">
        <f t="shared" si="17"/>
      </c>
      <c r="U285" s="44"/>
      <c r="V285" s="44"/>
      <c r="W285" s="44"/>
      <c r="X285" s="44"/>
    </row>
    <row r="286" ht="15" customHeight="1" spans="1:24" x14ac:dyDescent="0.25">
      <c r="A286" s="40"/>
      <c r="B286" s="46"/>
      <c r="C286" s="42"/>
      <c r="D286" s="43"/>
      <c r="E286" s="10"/>
      <c r="F286" s="44"/>
      <c r="G286" s="45"/>
      <c r="H286" s="46" t="str">
        <f>IFERROR(VLOOKUP(E286,배송지!A:C,3,0)," ")</f>
        <v> </v>
      </c>
      <c r="I286" s="44"/>
      <c r="J286" s="44" t="str">
        <f>IFERROR(VLOOKUP(E286,배송지!A:C,2,0)," ")</f>
        <v> </v>
      </c>
      <c r="K286" s="44"/>
      <c r="L286" s="44" t="str">
        <f t="shared" si="15"/>
        <v>  </v>
      </c>
      <c r="M286" s="43"/>
      <c r="N286" s="44" t="str">
        <f> IFERROR(INDEX('상품정보(1)'!R:R,MATCH(발주서!P286,'상품정보(1)'!F:F,0))," ")</f>
        <v> </v>
      </c>
      <c r="O286" s="43"/>
      <c r="P286" s="44" t="str">
        <f>IFERROR(INDEX('상품정보(1)'!F:F,MATCH(발주서!O286,'상품정보(1)'!E:E,0))," ")</f>
        <v> </v>
      </c>
      <c r="Q286" s="49"/>
      <c r="R286" s="44">
        <f t="shared" si="16"/>
      </c>
      <c r="S286" s="44"/>
      <c r="T286" s="44">
        <f t="shared" si="17"/>
      </c>
      <c r="U286" s="44"/>
      <c r="V286" s="44"/>
      <c r="W286" s="44"/>
      <c r="X286" s="44"/>
    </row>
    <row r="287" ht="15" customHeight="1" spans="1:24" x14ac:dyDescent="0.25">
      <c r="A287" s="40"/>
      <c r="B287" s="46"/>
      <c r="C287" s="42"/>
      <c r="D287" s="43"/>
      <c r="E287" s="10"/>
      <c r="F287" s="44"/>
      <c r="G287" s="45"/>
      <c r="H287" s="46" t="str">
        <f>IFERROR(VLOOKUP(E287,배송지!A:C,3,0)," ")</f>
        <v> </v>
      </c>
      <c r="I287" s="44"/>
      <c r="J287" s="44" t="str">
        <f>IFERROR(VLOOKUP(E287,배송지!A:C,2,0)," ")</f>
        <v> </v>
      </c>
      <c r="K287" s="44"/>
      <c r="L287" s="44" t="str">
        <f t="shared" si="15"/>
        <v>  </v>
      </c>
      <c r="M287" s="43"/>
      <c r="N287" s="44" t="str">
        <f> IFERROR(INDEX('상품정보(1)'!R:R,MATCH(발주서!P287,'상품정보(1)'!F:F,0))," ")</f>
        <v> </v>
      </c>
      <c r="O287" s="43"/>
      <c r="P287" s="44" t="str">
        <f>IFERROR(INDEX('상품정보(1)'!F:F,MATCH(발주서!O287,'상품정보(1)'!E:E,0))," ")</f>
        <v> </v>
      </c>
      <c r="Q287" s="49"/>
      <c r="R287" s="44">
        <f t="shared" si="16"/>
      </c>
      <c r="S287" s="44"/>
      <c r="T287" s="44">
        <f t="shared" si="17"/>
      </c>
      <c r="U287" s="44"/>
      <c r="V287" s="44"/>
      <c r="W287" s="44"/>
      <c r="X287" s="44"/>
    </row>
    <row r="288" ht="15" customHeight="1" spans="1:24" x14ac:dyDescent="0.25">
      <c r="A288" s="40"/>
      <c r="B288" s="46"/>
      <c r="C288" s="42"/>
      <c r="D288" s="43"/>
      <c r="E288" s="10"/>
      <c r="F288" s="44"/>
      <c r="G288" s="45"/>
      <c r="H288" s="46" t="str">
        <f>IFERROR(VLOOKUP(E288,배송지!A:C,3,0)," ")</f>
        <v> </v>
      </c>
      <c r="I288" s="44"/>
      <c r="J288" s="44" t="str">
        <f>IFERROR(VLOOKUP(E288,배송지!A:C,2,0)," ")</f>
        <v> </v>
      </c>
      <c r="K288" s="44"/>
      <c r="L288" s="44" t="str">
        <f t="shared" si="15"/>
        <v>  </v>
      </c>
      <c r="M288" s="43"/>
      <c r="N288" s="44" t="str">
        <f> IFERROR(INDEX('상품정보(1)'!R:R,MATCH(발주서!P288,'상품정보(1)'!F:F,0))," ")</f>
        <v> </v>
      </c>
      <c r="O288" s="43"/>
      <c r="P288" s="44" t="str">
        <f>IFERROR(INDEX('상품정보(1)'!F:F,MATCH(발주서!O288,'상품정보(1)'!E:E,0))," ")</f>
        <v> </v>
      </c>
      <c r="Q288" s="49"/>
      <c r="R288" s="44">
        <f t="shared" si="16"/>
      </c>
      <c r="S288" s="44"/>
      <c r="T288" s="44">
        <f t="shared" si="17"/>
      </c>
      <c r="U288" s="44"/>
      <c r="V288" s="44"/>
      <c r="W288" s="44"/>
      <c r="X288" s="44"/>
    </row>
    <row r="289" ht="15" customHeight="1" spans="1:24" x14ac:dyDescent="0.25">
      <c r="A289" s="40"/>
      <c r="B289" s="46"/>
      <c r="C289" s="42"/>
      <c r="D289" s="43"/>
      <c r="E289" s="10"/>
      <c r="F289" s="44"/>
      <c r="G289" s="45"/>
      <c r="H289" s="46" t="str">
        <f>IFERROR(VLOOKUP(E289,배송지!A:C,3,0)," ")</f>
        <v> </v>
      </c>
      <c r="I289" s="44"/>
      <c r="J289" s="44" t="str">
        <f>IFERROR(VLOOKUP(E289,배송지!A:C,2,0)," ")</f>
        <v> </v>
      </c>
      <c r="K289" s="44"/>
      <c r="L289" s="44" t="str">
        <f t="shared" si="15"/>
        <v>  </v>
      </c>
      <c r="M289" s="43"/>
      <c r="N289" s="44" t="str">
        <f> IFERROR(INDEX('상품정보(1)'!R:R,MATCH(발주서!P289,'상품정보(1)'!F:F,0))," ")</f>
        <v> </v>
      </c>
      <c r="O289" s="43"/>
      <c r="P289" s="44" t="str">
        <f>IFERROR(INDEX('상품정보(1)'!F:F,MATCH(발주서!O289,'상품정보(1)'!E:E,0))," ")</f>
        <v> </v>
      </c>
      <c r="Q289" s="49"/>
      <c r="R289" s="44">
        <f t="shared" si="16"/>
      </c>
      <c r="S289" s="44"/>
      <c r="T289" s="44">
        <f t="shared" si="17"/>
      </c>
      <c r="U289" s="44"/>
      <c r="V289" s="44"/>
      <c r="W289" s="44"/>
      <c r="X289" s="44"/>
    </row>
    <row r="290" ht="15" customHeight="1" spans="1:24" x14ac:dyDescent="0.25">
      <c r="A290" s="40"/>
      <c r="B290" s="46"/>
      <c r="C290" s="42"/>
      <c r="D290" s="43"/>
      <c r="E290" s="10"/>
      <c r="F290" s="44"/>
      <c r="G290" s="45"/>
      <c r="H290" s="46" t="str">
        <f>IFERROR(VLOOKUP(E290,배송지!A:C,3,0)," ")</f>
        <v> </v>
      </c>
      <c r="I290" s="44"/>
      <c r="J290" s="44" t="str">
        <f>IFERROR(VLOOKUP(E290,배송지!A:C,2,0)," ")</f>
        <v> </v>
      </c>
      <c r="K290" s="44"/>
      <c r="L290" s="44" t="str">
        <f t="shared" si="15"/>
        <v>  </v>
      </c>
      <c r="M290" s="43"/>
      <c r="N290" s="44" t="str">
        <f> IFERROR(INDEX('상품정보(1)'!R:R,MATCH(발주서!P290,'상품정보(1)'!F:F,0))," ")</f>
        <v> </v>
      </c>
      <c r="O290" s="43"/>
      <c r="P290" s="44" t="str">
        <f>IFERROR(INDEX('상품정보(1)'!F:F,MATCH(발주서!O290,'상품정보(1)'!E:E,0))," ")</f>
        <v> </v>
      </c>
      <c r="Q290" s="49"/>
      <c r="R290" s="44">
        <f t="shared" si="16"/>
      </c>
      <c r="S290" s="44"/>
      <c r="T290" s="44">
        <f t="shared" si="17"/>
      </c>
      <c r="U290" s="44"/>
      <c r="V290" s="44"/>
      <c r="W290" s="44"/>
      <c r="X290" s="44"/>
    </row>
    <row r="291" ht="15" customHeight="1" spans="1:24" x14ac:dyDescent="0.25">
      <c r="A291" s="40"/>
      <c r="B291" s="46"/>
      <c r="C291" s="42"/>
      <c r="D291" s="43"/>
      <c r="E291" s="10"/>
      <c r="F291" s="44"/>
      <c r="G291" s="45"/>
      <c r="H291" s="46" t="str">
        <f>IFERROR(VLOOKUP(E291,배송지!A:C,3,0)," ")</f>
        <v> </v>
      </c>
      <c r="I291" s="44"/>
      <c r="J291" s="44" t="str">
        <f>IFERROR(VLOOKUP(E291,배송지!A:C,2,0)," ")</f>
        <v> </v>
      </c>
      <c r="K291" s="44"/>
      <c r="L291" s="44" t="str">
        <f t="shared" si="15"/>
        <v>  </v>
      </c>
      <c r="M291" s="43"/>
      <c r="N291" s="44" t="str">
        <f> IFERROR(INDEX('상품정보(1)'!R:R,MATCH(발주서!P291,'상품정보(1)'!F:F,0))," ")</f>
        <v> </v>
      </c>
      <c r="O291" s="43"/>
      <c r="P291" s="44" t="str">
        <f>IFERROR(INDEX('상품정보(1)'!F:F,MATCH(발주서!O291,'상품정보(1)'!E:E,0))," ")</f>
        <v> </v>
      </c>
      <c r="Q291" s="49"/>
      <c r="R291" s="44">
        <f t="shared" si="16"/>
      </c>
      <c r="S291" s="44"/>
      <c r="T291" s="44">
        <f t="shared" si="17"/>
      </c>
      <c r="U291" s="44"/>
      <c r="V291" s="44"/>
      <c r="W291" s="44"/>
      <c r="X291" s="44"/>
    </row>
    <row r="292" ht="15" customHeight="1" spans="1:24" x14ac:dyDescent="0.25">
      <c r="A292" s="40"/>
      <c r="B292" s="46"/>
      <c r="C292" s="42"/>
      <c r="D292" s="43"/>
      <c r="E292" s="10"/>
      <c r="F292" s="44"/>
      <c r="G292" s="45"/>
      <c r="H292" s="46" t="str">
        <f>IFERROR(VLOOKUP(E292,배송지!A:C,3,0)," ")</f>
        <v> </v>
      </c>
      <c r="I292" s="44"/>
      <c r="J292" s="44" t="str">
        <f>IFERROR(VLOOKUP(E292,배송지!A:C,2,0)," ")</f>
        <v> </v>
      </c>
      <c r="K292" s="44"/>
      <c r="L292" s="44" t="str">
        <f t="shared" si="15"/>
        <v>  </v>
      </c>
      <c r="M292" s="43"/>
      <c r="N292" s="44" t="str">
        <f> IFERROR(INDEX('상품정보(1)'!R:R,MATCH(발주서!P292,'상품정보(1)'!F:F,0))," ")</f>
        <v> </v>
      </c>
      <c r="O292" s="43"/>
      <c r="P292" s="44" t="str">
        <f>IFERROR(INDEX('상품정보(1)'!F:F,MATCH(발주서!O292,'상품정보(1)'!E:E,0))," ")</f>
        <v> </v>
      </c>
      <c r="Q292" s="49"/>
      <c r="R292" s="44">
        <f t="shared" si="16"/>
      </c>
      <c r="S292" s="44"/>
      <c r="T292" s="44">
        <f t="shared" si="17"/>
      </c>
      <c r="U292" s="44"/>
      <c r="V292" s="44"/>
      <c r="W292" s="44"/>
      <c r="X292" s="44"/>
    </row>
    <row r="293" ht="15" customHeight="1" spans="1:24" x14ac:dyDescent="0.25">
      <c r="A293" s="40"/>
      <c r="B293" s="46"/>
      <c r="C293" s="42"/>
      <c r="D293" s="43"/>
      <c r="E293" s="10"/>
      <c r="F293" s="44"/>
      <c r="G293" s="45"/>
      <c r="H293" s="46" t="str">
        <f>IFERROR(VLOOKUP(E293,배송지!A:C,3,0)," ")</f>
        <v> </v>
      </c>
      <c r="I293" s="44"/>
      <c r="J293" s="44" t="str">
        <f>IFERROR(VLOOKUP(E293,배송지!A:C,2,0)," ")</f>
        <v> </v>
      </c>
      <c r="K293" s="44"/>
      <c r="L293" s="44" t="str">
        <f t="shared" si="15"/>
        <v>  </v>
      </c>
      <c r="M293" s="43"/>
      <c r="N293" s="44" t="str">
        <f> IFERROR(INDEX('상품정보(1)'!R:R,MATCH(발주서!P293,'상품정보(1)'!F:F,0))," ")</f>
        <v> </v>
      </c>
      <c r="O293" s="43"/>
      <c r="P293" s="44" t="str">
        <f>IFERROR(INDEX('상품정보(1)'!F:F,MATCH(발주서!O293,'상품정보(1)'!E:E,0))," ")</f>
        <v> </v>
      </c>
      <c r="Q293" s="49"/>
      <c r="R293" s="44">
        <f t="shared" si="16"/>
      </c>
      <c r="S293" s="44"/>
      <c r="T293" s="44">
        <f t="shared" si="17"/>
      </c>
      <c r="U293" s="44"/>
      <c r="V293" s="44"/>
      <c r="W293" s="44"/>
      <c r="X293" s="44"/>
    </row>
    <row r="294" ht="15" customHeight="1" spans="1:24" x14ac:dyDescent="0.25">
      <c r="A294" s="40"/>
      <c r="B294" s="46"/>
      <c r="C294" s="42"/>
      <c r="D294" s="43"/>
      <c r="E294" s="10"/>
      <c r="F294" s="44"/>
      <c r="G294" s="45"/>
      <c r="H294" s="46" t="str">
        <f>IFERROR(VLOOKUP(E294,배송지!A:C,3,0)," ")</f>
        <v> </v>
      </c>
      <c r="I294" s="44"/>
      <c r="J294" s="44" t="str">
        <f>IFERROR(VLOOKUP(E294,배송지!A:C,2,0)," ")</f>
        <v> </v>
      </c>
      <c r="K294" s="44"/>
      <c r="L294" s="44" t="str">
        <f t="shared" si="15"/>
        <v>  </v>
      </c>
      <c r="M294" s="43"/>
      <c r="N294" s="44" t="str">
        <f> IFERROR(INDEX('상품정보(1)'!R:R,MATCH(발주서!P294,'상품정보(1)'!F:F,0))," ")</f>
        <v> </v>
      </c>
      <c r="O294" s="43"/>
      <c r="P294" s="44" t="str">
        <f>IFERROR(INDEX('상품정보(1)'!F:F,MATCH(발주서!O294,'상품정보(1)'!E:E,0))," ")</f>
        <v> </v>
      </c>
      <c r="Q294" s="49"/>
      <c r="R294" s="44">
        <f t="shared" si="16"/>
      </c>
      <c r="S294" s="44"/>
      <c r="T294" s="44">
        <f t="shared" si="17"/>
      </c>
      <c r="U294" s="44"/>
      <c r="V294" s="44"/>
      <c r="W294" s="44"/>
      <c r="X294" s="44"/>
    </row>
    <row r="295" ht="15" customHeight="1" spans="1:24" x14ac:dyDescent="0.25">
      <c r="A295" s="40"/>
      <c r="B295" s="46"/>
      <c r="C295" s="42"/>
      <c r="D295" s="43"/>
      <c r="E295" s="10"/>
      <c r="F295" s="44"/>
      <c r="G295" s="45"/>
      <c r="H295" s="46" t="str">
        <f>IFERROR(VLOOKUP(E295,배송지!A:C,3,0)," ")</f>
        <v> </v>
      </c>
      <c r="I295" s="44"/>
      <c r="J295" s="44" t="str">
        <f>IFERROR(VLOOKUP(E295,배송지!A:C,2,0)," ")</f>
        <v> </v>
      </c>
      <c r="K295" s="44"/>
      <c r="L295" s="44" t="str">
        <f t="shared" si="15"/>
        <v>  </v>
      </c>
      <c r="M295" s="43"/>
      <c r="N295" s="44" t="str">
        <f> IFERROR(INDEX('상품정보(1)'!R:R,MATCH(발주서!P295,'상품정보(1)'!F:F,0))," ")</f>
        <v> </v>
      </c>
      <c r="O295" s="43"/>
      <c r="P295" s="44" t="str">
        <f>IFERROR(INDEX('상품정보(1)'!F:F,MATCH(발주서!O295,'상품정보(1)'!E:E,0))," ")</f>
        <v> </v>
      </c>
      <c r="Q295" s="49"/>
      <c r="R295" s="44">
        <f t="shared" si="16"/>
      </c>
      <c r="S295" s="44"/>
      <c r="T295" s="44">
        <f t="shared" si="17"/>
      </c>
      <c r="U295" s="44"/>
      <c r="V295" s="44"/>
      <c r="W295" s="44"/>
      <c r="X295" s="44"/>
    </row>
    <row r="296" ht="15" customHeight="1" spans="1:24" x14ac:dyDescent="0.25">
      <c r="A296" s="40"/>
      <c r="B296" s="46"/>
      <c r="C296" s="42"/>
      <c r="D296" s="43"/>
      <c r="E296" s="10"/>
      <c r="F296" s="44"/>
      <c r="G296" s="45"/>
      <c r="H296" s="46" t="str">
        <f>IFERROR(VLOOKUP(E296,배송지!A:C,3,0)," ")</f>
        <v> </v>
      </c>
      <c r="I296" s="44"/>
      <c r="J296" s="44" t="str">
        <f>IFERROR(VLOOKUP(E296,배송지!A:C,2,0)," ")</f>
        <v> </v>
      </c>
      <c r="K296" s="44"/>
      <c r="L296" s="44" t="str">
        <f t="shared" si="15"/>
        <v>  </v>
      </c>
      <c r="M296" s="43"/>
      <c r="N296" s="44" t="str">
        <f> IFERROR(INDEX('상품정보(1)'!R:R,MATCH(발주서!P296,'상품정보(1)'!F:F,0))," ")</f>
        <v> </v>
      </c>
      <c r="O296" s="43"/>
      <c r="P296" s="44" t="str">
        <f>IFERROR(INDEX('상품정보(1)'!F:F,MATCH(발주서!O296,'상품정보(1)'!E:E,0))," ")</f>
        <v> </v>
      </c>
      <c r="Q296" s="49"/>
      <c r="R296" s="44">
        <f t="shared" si="16"/>
      </c>
      <c r="S296" s="44"/>
      <c r="T296" s="44">
        <f t="shared" si="17"/>
      </c>
      <c r="U296" s="44"/>
      <c r="V296" s="44"/>
      <c r="W296" s="44"/>
      <c r="X296" s="44"/>
    </row>
    <row r="297" ht="15" customHeight="1" spans="1:24" x14ac:dyDescent="0.25">
      <c r="A297" s="40"/>
      <c r="B297" s="46"/>
      <c r="C297" s="42"/>
      <c r="D297" s="43"/>
      <c r="E297" s="10"/>
      <c r="F297" s="44"/>
      <c r="G297" s="45"/>
      <c r="H297" s="46" t="str">
        <f>IFERROR(VLOOKUP(E297,배송지!A:C,3,0)," ")</f>
        <v> </v>
      </c>
      <c r="I297" s="44"/>
      <c r="J297" s="44" t="str">
        <f>IFERROR(VLOOKUP(E297,배송지!A:C,2,0)," ")</f>
        <v> </v>
      </c>
      <c r="K297" s="44"/>
      <c r="L297" s="44" t="str">
        <f t="shared" si="15"/>
        <v>  </v>
      </c>
      <c r="M297" s="43"/>
      <c r="N297" s="44" t="str">
        <f> IFERROR(INDEX('상품정보(1)'!R:R,MATCH(발주서!P297,'상품정보(1)'!F:F,0))," ")</f>
        <v> </v>
      </c>
      <c r="O297" s="43"/>
      <c r="P297" s="44" t="str">
        <f>IFERROR(INDEX('상품정보(1)'!F:F,MATCH(발주서!O297,'상품정보(1)'!E:E,0))," ")</f>
        <v> </v>
      </c>
      <c r="Q297" s="49"/>
      <c r="R297" s="44">
        <f t="shared" si="16"/>
      </c>
      <c r="S297" s="44"/>
      <c r="T297" s="44">
        <f t="shared" si="17"/>
      </c>
      <c r="U297" s="44"/>
      <c r="V297" s="44"/>
      <c r="W297" s="44"/>
      <c r="X297" s="44"/>
    </row>
    <row r="298" ht="15" customHeight="1" spans="1:24" x14ac:dyDescent="0.25">
      <c r="A298" s="40"/>
      <c r="B298" s="46"/>
      <c r="C298" s="42"/>
      <c r="D298" s="43"/>
      <c r="E298" s="10"/>
      <c r="F298" s="44"/>
      <c r="G298" s="45"/>
      <c r="H298" s="46" t="str">
        <f>IFERROR(VLOOKUP(E298,배송지!A:C,3,0)," ")</f>
        <v> </v>
      </c>
      <c r="I298" s="44"/>
      <c r="J298" s="44" t="str">
        <f>IFERROR(VLOOKUP(E298,배송지!A:C,2,0)," ")</f>
        <v> </v>
      </c>
      <c r="K298" s="44"/>
      <c r="L298" s="44" t="str">
        <f t="shared" si="15"/>
        <v>  </v>
      </c>
      <c r="M298" s="43"/>
      <c r="N298" s="44" t="str">
        <f> IFERROR(INDEX('상품정보(1)'!R:R,MATCH(발주서!P298,'상품정보(1)'!F:F,0))," ")</f>
        <v> </v>
      </c>
      <c r="O298" s="43"/>
      <c r="P298" s="44" t="str">
        <f>IFERROR(INDEX('상품정보(1)'!F:F,MATCH(발주서!O298,'상품정보(1)'!E:E,0))," ")</f>
        <v> </v>
      </c>
      <c r="Q298" s="49"/>
      <c r="R298" s="44">
        <f t="shared" si="16"/>
      </c>
      <c r="S298" s="44"/>
      <c r="T298" s="44">
        <f t="shared" si="17"/>
      </c>
      <c r="U298" s="44"/>
      <c r="V298" s="44"/>
      <c r="W298" s="44"/>
      <c r="X298" s="44"/>
    </row>
    <row r="299" ht="15" customHeight="1" spans="1:24" x14ac:dyDescent="0.25">
      <c r="A299" s="40"/>
      <c r="B299" s="46"/>
      <c r="C299" s="42"/>
      <c r="D299" s="43"/>
      <c r="E299" s="10"/>
      <c r="F299" s="44"/>
      <c r="G299" s="45"/>
      <c r="H299" s="46" t="str">
        <f>IFERROR(VLOOKUP(E299,배송지!A:C,3,0)," ")</f>
        <v> </v>
      </c>
      <c r="I299" s="44"/>
      <c r="J299" s="44" t="str">
        <f>IFERROR(VLOOKUP(E299,배송지!A:C,2,0)," ")</f>
        <v> </v>
      </c>
      <c r="K299" s="44"/>
      <c r="L299" s="44" t="str">
        <f t="shared" si="15"/>
        <v>  </v>
      </c>
      <c r="M299" s="43"/>
      <c r="N299" s="44" t="str">
        <f> IFERROR(INDEX('상품정보(1)'!R:R,MATCH(발주서!P299,'상품정보(1)'!F:F,0))," ")</f>
        <v> </v>
      </c>
      <c r="O299" s="43"/>
      <c r="P299" s="44" t="str">
        <f>IFERROR(INDEX('상품정보(1)'!F:F,MATCH(발주서!O299,'상품정보(1)'!E:E,0))," ")</f>
        <v> </v>
      </c>
      <c r="Q299" s="49"/>
      <c r="R299" s="44">
        <f t="shared" si="16"/>
      </c>
      <c r="S299" s="44"/>
      <c r="T299" s="44">
        <f t="shared" si="17"/>
      </c>
      <c r="U299" s="44"/>
      <c r="V299" s="44"/>
      <c r="W299" s="44"/>
      <c r="X299" s="44"/>
    </row>
    <row r="300" ht="15" customHeight="1" spans="1:24" x14ac:dyDescent="0.25">
      <c r="A300" s="40"/>
      <c r="B300" s="46"/>
      <c r="C300" s="42"/>
      <c r="D300" s="43"/>
      <c r="E300" s="10"/>
      <c r="F300" s="44"/>
      <c r="G300" s="45"/>
      <c r="H300" s="46" t="str">
        <f>IFERROR(VLOOKUP(E300,배송지!A:C,3,0)," ")</f>
        <v> </v>
      </c>
      <c r="I300" s="44"/>
      <c r="J300" s="44" t="str">
        <f>IFERROR(VLOOKUP(E300,배송지!A:C,2,0)," ")</f>
        <v> </v>
      </c>
      <c r="K300" s="44"/>
      <c r="L300" s="44" t="str">
        <f t="shared" si="15"/>
        <v>  </v>
      </c>
      <c r="M300" s="43"/>
      <c r="N300" s="44" t="str">
        <f> IFERROR(INDEX('상품정보(1)'!R:R,MATCH(발주서!P300,'상품정보(1)'!F:F,0))," ")</f>
        <v> </v>
      </c>
      <c r="O300" s="43"/>
      <c r="P300" s="44" t="str">
        <f>IFERROR(INDEX('상품정보(1)'!F:F,MATCH(발주서!O300,'상품정보(1)'!E:E,0))," ")</f>
        <v> </v>
      </c>
      <c r="Q300" s="49"/>
      <c r="R300" s="44">
        <f t="shared" si="16"/>
      </c>
      <c r="S300" s="44"/>
      <c r="T300" s="44">
        <f t="shared" si="17"/>
      </c>
      <c r="U300" s="44"/>
      <c r="V300" s="44"/>
      <c r="W300" s="44"/>
      <c r="X300" s="44"/>
    </row>
    <row r="301" ht="15" customHeight="1" spans="1:24" x14ac:dyDescent="0.25">
      <c r="A301" s="40"/>
      <c r="B301" s="46"/>
      <c r="C301" s="42"/>
      <c r="D301" s="43"/>
      <c r="E301" s="10"/>
      <c r="F301" s="44"/>
      <c r="G301" s="45"/>
      <c r="H301" s="46" t="str">
        <f>IFERROR(VLOOKUP(E301,배송지!A:C,3,0)," ")</f>
        <v> </v>
      </c>
      <c r="I301" s="44"/>
      <c r="J301" s="44" t="str">
        <f>IFERROR(VLOOKUP(E301,배송지!A:C,2,0)," ")</f>
        <v> </v>
      </c>
      <c r="K301" s="44"/>
      <c r="L301" s="44" t="str">
        <f t="shared" si="15"/>
        <v>  </v>
      </c>
      <c r="M301" s="43"/>
      <c r="N301" s="44" t="str">
        <f> IFERROR(INDEX('상품정보(1)'!R:R,MATCH(발주서!P301,'상품정보(1)'!F:F,0))," ")</f>
        <v> </v>
      </c>
      <c r="O301" s="43"/>
      <c r="P301" s="44" t="str">
        <f>IFERROR(INDEX('상품정보(1)'!F:F,MATCH(발주서!O301,'상품정보(1)'!E:E,0))," ")</f>
        <v> </v>
      </c>
      <c r="Q301" s="49"/>
      <c r="R301" s="44">
        <f t="shared" si="16"/>
      </c>
      <c r="S301" s="44"/>
      <c r="T301" s="44">
        <f t="shared" si="17"/>
      </c>
      <c r="U301" s="44"/>
      <c r="V301" s="44"/>
      <c r="W301" s="44"/>
      <c r="X301" s="44"/>
    </row>
    <row r="302" ht="15" customHeight="1" spans="1:24" x14ac:dyDescent="0.25">
      <c r="A302" s="40"/>
      <c r="B302" s="46"/>
      <c r="C302" s="42"/>
      <c r="D302" s="43"/>
      <c r="E302" s="10"/>
      <c r="F302" s="44"/>
      <c r="G302" s="45"/>
      <c r="H302" s="46" t="str">
        <f>IFERROR(VLOOKUP(E302,배송지!A:C,3,0)," ")</f>
        <v> </v>
      </c>
      <c r="I302" s="44"/>
      <c r="J302" s="44" t="str">
        <f>IFERROR(VLOOKUP(E302,배송지!A:C,2,0)," ")</f>
        <v> </v>
      </c>
      <c r="K302" s="44"/>
      <c r="L302" s="44" t="str">
        <f t="shared" si="15"/>
        <v>  </v>
      </c>
      <c r="M302" s="43"/>
      <c r="N302" s="44" t="str">
        <f> IFERROR(INDEX('상품정보(1)'!R:R,MATCH(발주서!P302,'상품정보(1)'!F:F,0))," ")</f>
        <v> </v>
      </c>
      <c r="O302" s="43"/>
      <c r="P302" s="44" t="str">
        <f>IFERROR(INDEX('상품정보(1)'!F:F,MATCH(발주서!O302,'상품정보(1)'!E:E,0))," ")</f>
        <v> </v>
      </c>
      <c r="Q302" s="49"/>
      <c r="R302" s="44">
        <f t="shared" si="16"/>
      </c>
      <c r="S302" s="44"/>
      <c r="T302" s="44">
        <f t="shared" si="17"/>
      </c>
      <c r="U302" s="44"/>
      <c r="V302" s="44"/>
      <c r="W302" s="44"/>
      <c r="X302" s="44"/>
    </row>
    <row r="303" ht="15" customHeight="1" spans="1:24" x14ac:dyDescent="0.25">
      <c r="A303" s="40"/>
      <c r="B303" s="46"/>
      <c r="C303" s="42"/>
      <c r="D303" s="43"/>
      <c r="E303" s="10"/>
      <c r="F303" s="44"/>
      <c r="G303" s="45"/>
      <c r="H303" s="46" t="str">
        <f>IFERROR(VLOOKUP(E303,배송지!A:C,3,0)," ")</f>
        <v> </v>
      </c>
      <c r="I303" s="44"/>
      <c r="J303" s="44" t="str">
        <f>IFERROR(VLOOKUP(E303,배송지!A:C,2,0)," ")</f>
        <v> </v>
      </c>
      <c r="K303" s="44"/>
      <c r="L303" s="44" t="str">
        <f t="shared" si="15"/>
        <v>  </v>
      </c>
      <c r="M303" s="43"/>
      <c r="N303" s="44" t="str">
        <f> IFERROR(INDEX('상품정보(1)'!R:R,MATCH(발주서!P303,'상품정보(1)'!F:F,0))," ")</f>
        <v> </v>
      </c>
      <c r="O303" s="43"/>
      <c r="P303" s="44" t="str">
        <f>IFERROR(INDEX('상품정보(1)'!F:F,MATCH(발주서!O303,'상품정보(1)'!E:E,0))," ")</f>
        <v> </v>
      </c>
      <c r="Q303" s="49"/>
      <c r="R303" s="44">
        <f t="shared" si="16"/>
      </c>
      <c r="S303" s="44"/>
      <c r="T303" s="44">
        <f t="shared" si="17"/>
      </c>
      <c r="U303" s="44"/>
      <c r="V303" s="44"/>
      <c r="W303" s="44"/>
      <c r="X303" s="44"/>
    </row>
    <row r="304" ht="15" customHeight="1" spans="1:24" x14ac:dyDescent="0.25">
      <c r="A304" s="40"/>
      <c r="B304" s="46"/>
      <c r="C304" s="42"/>
      <c r="D304" s="43"/>
      <c r="E304" s="10"/>
      <c r="F304" s="44"/>
      <c r="G304" s="45"/>
      <c r="H304" s="46" t="str">
        <f>IFERROR(VLOOKUP(E304,배송지!A:C,3,0)," ")</f>
        <v> </v>
      </c>
      <c r="I304" s="44"/>
      <c r="J304" s="44" t="str">
        <f>IFERROR(VLOOKUP(E304,배송지!A:C,2,0)," ")</f>
        <v> </v>
      </c>
      <c r="K304" s="44"/>
      <c r="L304" s="44" t="str">
        <f t="shared" si="15"/>
        <v>  </v>
      </c>
      <c r="M304" s="43"/>
      <c r="N304" s="44" t="str">
        <f> IFERROR(INDEX('상품정보(1)'!R:R,MATCH(발주서!P304,'상품정보(1)'!F:F,0))," ")</f>
        <v> </v>
      </c>
      <c r="O304" s="43"/>
      <c r="P304" s="44" t="str">
        <f>IFERROR(INDEX('상품정보(1)'!F:F,MATCH(발주서!O304,'상품정보(1)'!E:E,0))," ")</f>
        <v> </v>
      </c>
      <c r="Q304" s="49"/>
      <c r="R304" s="44">
        <f t="shared" si="16"/>
      </c>
      <c r="S304" s="44"/>
      <c r="T304" s="44">
        <f t="shared" si="17"/>
      </c>
      <c r="U304" s="44"/>
      <c r="V304" s="44"/>
      <c r="W304" s="44"/>
      <c r="X304" s="44"/>
    </row>
    <row r="305" ht="15" customHeight="1" spans="1:24" x14ac:dyDescent="0.25">
      <c r="A305" s="40"/>
      <c r="B305" s="46"/>
      <c r="C305" s="42"/>
      <c r="D305" s="43"/>
      <c r="E305" s="10"/>
      <c r="F305" s="44"/>
      <c r="G305" s="45"/>
      <c r="H305" s="46" t="str">
        <f>IFERROR(VLOOKUP(E305,배송지!A:C,3,0)," ")</f>
        <v> </v>
      </c>
      <c r="I305" s="44"/>
      <c r="J305" s="44" t="str">
        <f>IFERROR(VLOOKUP(E305,배송지!A:C,2,0)," ")</f>
        <v> </v>
      </c>
      <c r="K305" s="44"/>
      <c r="L305" s="44" t="str">
        <f t="shared" si="15"/>
        <v>  </v>
      </c>
      <c r="M305" s="43"/>
      <c r="N305" s="44" t="str">
        <f> IFERROR(INDEX('상품정보(1)'!R:R,MATCH(발주서!P305,'상품정보(1)'!F:F,0))," ")</f>
        <v> </v>
      </c>
      <c r="O305" s="43"/>
      <c r="P305" s="44" t="str">
        <f>IFERROR(INDEX('상품정보(1)'!F:F,MATCH(발주서!O305,'상품정보(1)'!E:E,0))," ")</f>
        <v> </v>
      </c>
      <c r="Q305" s="49"/>
      <c r="R305" s="44">
        <f t="shared" si="16"/>
      </c>
      <c r="S305" s="44"/>
      <c r="T305" s="44">
        <f t="shared" si="17"/>
      </c>
      <c r="U305" s="44"/>
      <c r="V305" s="44"/>
      <c r="W305" s="44"/>
      <c r="X305" s="44"/>
    </row>
    <row r="306" ht="15" customHeight="1" spans="1:24" x14ac:dyDescent="0.25">
      <c r="A306" s="40"/>
      <c r="B306" s="46"/>
      <c r="C306" s="42"/>
      <c r="D306" s="43"/>
      <c r="E306" s="10"/>
      <c r="F306" s="44"/>
      <c r="G306" s="45"/>
      <c r="H306" s="46" t="str">
        <f>IFERROR(VLOOKUP(E306,배송지!A:C,3,0)," ")</f>
        <v> </v>
      </c>
      <c r="I306" s="44"/>
      <c r="J306" s="44" t="str">
        <f>IFERROR(VLOOKUP(E306,배송지!A:C,2,0)," ")</f>
        <v> </v>
      </c>
      <c r="K306" s="44"/>
      <c r="L306" s="44" t="str">
        <f t="shared" si="15"/>
        <v>  </v>
      </c>
      <c r="M306" s="43"/>
      <c r="N306" s="44" t="str">
        <f> IFERROR(INDEX('상품정보(1)'!R:R,MATCH(발주서!P306,'상품정보(1)'!F:F,0))," ")</f>
        <v> </v>
      </c>
      <c r="O306" s="43"/>
      <c r="P306" s="44" t="str">
        <f>IFERROR(INDEX('상품정보(1)'!F:F,MATCH(발주서!O306,'상품정보(1)'!E:E,0))," ")</f>
        <v> </v>
      </c>
      <c r="Q306" s="49"/>
      <c r="R306" s="44">
        <f t="shared" si="16"/>
      </c>
      <c r="S306" s="44"/>
      <c r="T306" s="44">
        <f t="shared" si="17"/>
      </c>
      <c r="U306" s="44"/>
      <c r="V306" s="44"/>
      <c r="W306" s="44"/>
      <c r="X306" s="44"/>
    </row>
    <row r="307" ht="15" customHeight="1" spans="1:24" x14ac:dyDescent="0.25">
      <c r="A307" s="40"/>
      <c r="B307" s="46"/>
      <c r="C307" s="42"/>
      <c r="D307" s="43"/>
      <c r="E307" s="10"/>
      <c r="F307" s="44"/>
      <c r="G307" s="45"/>
      <c r="H307" s="46" t="str">
        <f>IFERROR(VLOOKUP(E307,배송지!A:C,3,0)," ")</f>
        <v> </v>
      </c>
      <c r="I307" s="44"/>
      <c r="J307" s="44" t="str">
        <f>IFERROR(VLOOKUP(E307,배송지!A:C,2,0)," ")</f>
        <v> </v>
      </c>
      <c r="K307" s="44"/>
      <c r="L307" s="44" t="str">
        <f t="shared" si="15"/>
        <v>  </v>
      </c>
      <c r="M307" s="43"/>
      <c r="N307" s="44" t="str">
        <f> IFERROR(INDEX('상품정보(1)'!R:R,MATCH(발주서!P307,'상품정보(1)'!F:F,0))," ")</f>
        <v> </v>
      </c>
      <c r="O307" s="43"/>
      <c r="P307" s="44" t="str">
        <f>IFERROR(INDEX('상품정보(1)'!F:F,MATCH(발주서!O307,'상품정보(1)'!E:E,0))," ")</f>
        <v> </v>
      </c>
      <c r="Q307" s="49"/>
      <c r="R307" s="44">
        <f t="shared" si="16"/>
      </c>
      <c r="S307" s="44"/>
      <c r="T307" s="44">
        <f t="shared" si="17"/>
      </c>
      <c r="U307" s="44"/>
      <c r="V307" s="44"/>
      <c r="W307" s="44"/>
      <c r="X307" s="44"/>
    </row>
    <row r="308" ht="15" customHeight="1" spans="1:24" x14ac:dyDescent="0.25">
      <c r="A308" s="40"/>
      <c r="B308" s="46"/>
      <c r="C308" s="42"/>
      <c r="D308" s="43"/>
      <c r="E308" s="10"/>
      <c r="F308" s="44"/>
      <c r="G308" s="45"/>
      <c r="H308" s="46" t="str">
        <f>IFERROR(VLOOKUP(E308,배송지!A:C,3,0)," ")</f>
        <v> </v>
      </c>
      <c r="I308" s="44"/>
      <c r="J308" s="44" t="str">
        <f>IFERROR(VLOOKUP(E308,배송지!A:C,2,0)," ")</f>
        <v> </v>
      </c>
      <c r="K308" s="44"/>
      <c r="L308" s="44" t="str">
        <f t="shared" si="15"/>
        <v>  </v>
      </c>
      <c r="M308" s="43"/>
      <c r="N308" s="44" t="str">
        <f> IFERROR(INDEX('상품정보(1)'!R:R,MATCH(발주서!P308,'상품정보(1)'!F:F,0))," ")</f>
        <v> </v>
      </c>
      <c r="O308" s="43"/>
      <c r="P308" s="44" t="str">
        <f>IFERROR(INDEX('상품정보(1)'!F:F,MATCH(발주서!O308,'상품정보(1)'!E:E,0))," ")</f>
        <v> </v>
      </c>
      <c r="Q308" s="49"/>
      <c r="R308" s="44">
        <f t="shared" si="16"/>
      </c>
      <c r="S308" s="44"/>
      <c r="T308" s="44">
        <f t="shared" si="17"/>
      </c>
      <c r="U308" s="44"/>
      <c r="V308" s="44"/>
      <c r="W308" s="44"/>
      <c r="X308" s="44"/>
    </row>
    <row r="309" ht="15" customHeight="1" spans="1:24" x14ac:dyDescent="0.25">
      <c r="A309" s="40"/>
      <c r="B309" s="46"/>
      <c r="C309" s="42"/>
      <c r="D309" s="43"/>
      <c r="E309" s="10"/>
      <c r="F309" s="44"/>
      <c r="G309" s="45"/>
      <c r="H309" s="46" t="str">
        <f>IFERROR(VLOOKUP(E309,배송지!A:C,3,0)," ")</f>
        <v> </v>
      </c>
      <c r="I309" s="44"/>
      <c r="J309" s="44" t="str">
        <f>IFERROR(VLOOKUP(E309,배송지!A:C,2,0)," ")</f>
        <v> </v>
      </c>
      <c r="K309" s="44"/>
      <c r="L309" s="44" t="str">
        <f t="shared" si="15"/>
        <v>  </v>
      </c>
      <c r="M309" s="43"/>
      <c r="N309" s="44" t="str">
        <f> IFERROR(INDEX('상품정보(1)'!R:R,MATCH(발주서!P309,'상품정보(1)'!F:F,0))," ")</f>
        <v> </v>
      </c>
      <c r="O309" s="43"/>
      <c r="P309" s="44" t="str">
        <f>IFERROR(INDEX('상품정보(1)'!F:F,MATCH(발주서!O309,'상품정보(1)'!E:E,0))," ")</f>
        <v> </v>
      </c>
      <c r="Q309" s="49"/>
      <c r="R309" s="44">
        <f t="shared" si="16"/>
      </c>
      <c r="S309" s="44"/>
      <c r="T309" s="44">
        <f t="shared" si="17"/>
      </c>
      <c r="U309" s="44"/>
      <c r="V309" s="44"/>
      <c r="W309" s="44"/>
      <c r="X309" s="44"/>
    </row>
    <row r="310" ht="15" customHeight="1" spans="1:24" x14ac:dyDescent="0.25">
      <c r="A310" s="40"/>
      <c r="B310" s="46"/>
      <c r="C310" s="42"/>
      <c r="D310" s="43"/>
      <c r="E310" s="10"/>
      <c r="F310" s="44"/>
      <c r="G310" s="45"/>
      <c r="H310" s="46" t="str">
        <f>IFERROR(VLOOKUP(E310,배송지!A:C,3,0)," ")</f>
        <v> </v>
      </c>
      <c r="I310" s="44"/>
      <c r="J310" s="44" t="str">
        <f>IFERROR(VLOOKUP(E310,배송지!A:C,2,0)," ")</f>
        <v> </v>
      </c>
      <c r="K310" s="44"/>
      <c r="L310" s="44" t="str">
        <f t="shared" si="15"/>
        <v>  </v>
      </c>
      <c r="M310" s="43"/>
      <c r="N310" s="44" t="str">
        <f> IFERROR(INDEX('상품정보(1)'!R:R,MATCH(발주서!P310,'상품정보(1)'!F:F,0))," ")</f>
        <v> </v>
      </c>
      <c r="O310" s="43"/>
      <c r="P310" s="44" t="str">
        <f>IFERROR(INDEX('상품정보(1)'!F:F,MATCH(발주서!O310,'상품정보(1)'!E:E,0))," ")</f>
        <v> </v>
      </c>
      <c r="Q310" s="49"/>
      <c r="R310" s="44">
        <f t="shared" si="16"/>
      </c>
      <c r="S310" s="44"/>
      <c r="T310" s="44">
        <f t="shared" si="17"/>
      </c>
      <c r="U310" s="44"/>
      <c r="V310" s="44"/>
      <c r="W310" s="44"/>
      <c r="X310" s="44"/>
    </row>
    <row r="311" ht="15" customHeight="1" spans="1:24" x14ac:dyDescent="0.25">
      <c r="A311" s="40"/>
      <c r="B311" s="46"/>
      <c r="C311" s="42"/>
      <c r="D311" s="43"/>
      <c r="E311" s="10"/>
      <c r="F311" s="44"/>
      <c r="G311" s="45"/>
      <c r="H311" s="46" t="str">
        <f>IFERROR(VLOOKUP(E311,배송지!A:C,3,0)," ")</f>
        <v> </v>
      </c>
      <c r="I311" s="44"/>
      <c r="J311" s="44" t="str">
        <f>IFERROR(VLOOKUP(E311,배송지!A:C,2,0)," ")</f>
        <v> </v>
      </c>
      <c r="K311" s="44"/>
      <c r="L311" s="44" t="str">
        <f t="shared" si="15"/>
        <v>  </v>
      </c>
      <c r="M311" s="43"/>
      <c r="N311" s="44" t="str">
        <f> IFERROR(INDEX('상품정보(1)'!R:R,MATCH(발주서!P311,'상품정보(1)'!F:F,0))," ")</f>
        <v> </v>
      </c>
      <c r="O311" s="43"/>
      <c r="P311" s="44" t="str">
        <f>IFERROR(INDEX('상품정보(1)'!F:F,MATCH(발주서!O311,'상품정보(1)'!E:E,0))," ")</f>
        <v> </v>
      </c>
      <c r="Q311" s="49"/>
      <c r="R311" s="44">
        <f t="shared" si="16"/>
      </c>
      <c r="S311" s="44"/>
      <c r="T311" s="44">
        <f t="shared" si="17"/>
      </c>
      <c r="U311" s="44"/>
      <c r="V311" s="44"/>
      <c r="W311" s="44"/>
      <c r="X311" s="44"/>
    </row>
    <row r="312" ht="15" customHeight="1" spans="1:24" x14ac:dyDescent="0.25">
      <c r="A312" s="40"/>
      <c r="B312" s="46"/>
      <c r="C312" s="42"/>
      <c r="D312" s="43"/>
      <c r="E312" s="10"/>
      <c r="F312" s="44"/>
      <c r="G312" s="45"/>
      <c r="H312" s="46" t="str">
        <f>IFERROR(VLOOKUP(E312,배송지!A:C,3,0)," ")</f>
        <v> </v>
      </c>
      <c r="I312" s="44"/>
      <c r="J312" s="44" t="str">
        <f>IFERROR(VLOOKUP(E312,배송지!A:C,2,0)," ")</f>
        <v> </v>
      </c>
      <c r="K312" s="44"/>
      <c r="L312" s="44" t="str">
        <f t="shared" si="15"/>
        <v>  </v>
      </c>
      <c r="M312" s="43"/>
      <c r="N312" s="44" t="str">
        <f> IFERROR(INDEX('상품정보(1)'!R:R,MATCH(발주서!P312,'상품정보(1)'!F:F,0))," ")</f>
        <v> </v>
      </c>
      <c r="O312" s="43"/>
      <c r="P312" s="44" t="str">
        <f>IFERROR(INDEX('상품정보(1)'!F:F,MATCH(발주서!O312,'상품정보(1)'!E:E,0))," ")</f>
        <v> </v>
      </c>
      <c r="Q312" s="49"/>
      <c r="R312" s="44">
        <f t="shared" si="16"/>
      </c>
      <c r="S312" s="44"/>
      <c r="T312" s="44">
        <f t="shared" si="17"/>
      </c>
      <c r="U312" s="44"/>
      <c r="V312" s="44"/>
      <c r="W312" s="44"/>
      <c r="X312" s="44"/>
    </row>
    <row r="313" ht="15" customHeight="1" spans="1:24" x14ac:dyDescent="0.25">
      <c r="A313" s="40"/>
      <c r="B313" s="46"/>
      <c r="C313" s="42"/>
      <c r="D313" s="43"/>
      <c r="E313" s="10"/>
      <c r="F313" s="44"/>
      <c r="G313" s="45"/>
      <c r="H313" s="46" t="str">
        <f>IFERROR(VLOOKUP(E313,배송지!A:C,3,0)," ")</f>
        <v> </v>
      </c>
      <c r="I313" s="44"/>
      <c r="J313" s="44" t="str">
        <f>IFERROR(VLOOKUP(E313,배송지!A:C,2,0)," ")</f>
        <v> </v>
      </c>
      <c r="K313" s="44"/>
      <c r="L313" s="44" t="str">
        <f t="shared" si="15"/>
        <v>  </v>
      </c>
      <c r="M313" s="43"/>
      <c r="N313" s="44" t="str">
        <f> IFERROR(INDEX('상품정보(1)'!R:R,MATCH(발주서!P313,'상품정보(1)'!F:F,0))," ")</f>
        <v> </v>
      </c>
      <c r="O313" s="43"/>
      <c r="P313" s="44" t="str">
        <f>IFERROR(INDEX('상품정보(1)'!F:F,MATCH(발주서!O313,'상품정보(1)'!E:E,0))," ")</f>
        <v> </v>
      </c>
      <c r="Q313" s="49"/>
      <c r="R313" s="44">
        <f t="shared" si="16"/>
      </c>
      <c r="S313" s="44"/>
      <c r="T313" s="44">
        <f t="shared" si="17"/>
      </c>
      <c r="U313" s="44"/>
      <c r="V313" s="44"/>
      <c r="W313" s="44"/>
      <c r="X313" s="44"/>
    </row>
    <row r="314" ht="15" customHeight="1" spans="1:24" x14ac:dyDescent="0.25">
      <c r="A314" s="40"/>
      <c r="B314" s="46"/>
      <c r="C314" s="42"/>
      <c r="D314" s="43"/>
      <c r="E314" s="10"/>
      <c r="F314" s="44"/>
      <c r="G314" s="45"/>
      <c r="H314" s="46" t="str">
        <f>IFERROR(VLOOKUP(E314,배송지!A:C,3,0)," ")</f>
        <v> </v>
      </c>
      <c r="I314" s="44"/>
      <c r="J314" s="44" t="str">
        <f>IFERROR(VLOOKUP(E314,배송지!A:C,2,0)," ")</f>
        <v> </v>
      </c>
      <c r="K314" s="44"/>
      <c r="L314" s="44" t="str">
        <f t="shared" si="15"/>
        <v>  </v>
      </c>
      <c r="M314" s="43"/>
      <c r="N314" s="44" t="str">
        <f> IFERROR(INDEX('상품정보(1)'!R:R,MATCH(발주서!P314,'상품정보(1)'!F:F,0))," ")</f>
        <v> </v>
      </c>
      <c r="O314" s="43"/>
      <c r="P314" s="44" t="str">
        <f>IFERROR(INDEX('상품정보(1)'!F:F,MATCH(발주서!O314,'상품정보(1)'!E:E,0))," ")</f>
        <v> </v>
      </c>
      <c r="Q314" s="49"/>
      <c r="R314" s="44">
        <f t="shared" si="16"/>
      </c>
      <c r="S314" s="44"/>
      <c r="T314" s="44">
        <f t="shared" si="17"/>
      </c>
      <c r="U314" s="44"/>
      <c r="V314" s="44"/>
      <c r="W314" s="44"/>
      <c r="X314" s="44"/>
    </row>
    <row r="315" ht="15" customHeight="1" spans="1:24" x14ac:dyDescent="0.25">
      <c r="A315" s="40"/>
      <c r="B315" s="46"/>
      <c r="C315" s="42"/>
      <c r="D315" s="43"/>
      <c r="E315" s="10"/>
      <c r="F315" s="44"/>
      <c r="G315" s="45"/>
      <c r="H315" s="46" t="str">
        <f>IFERROR(VLOOKUP(E315,배송지!A:C,3,0)," ")</f>
        <v> </v>
      </c>
      <c r="I315" s="44"/>
      <c r="J315" s="44" t="str">
        <f>IFERROR(VLOOKUP(E315,배송지!A:C,2,0)," ")</f>
        <v> </v>
      </c>
      <c r="K315" s="44"/>
      <c r="L315" s="44" t="str">
        <f t="shared" si="15"/>
        <v>  </v>
      </c>
      <c r="M315" s="43"/>
      <c r="N315" s="44" t="str">
        <f> IFERROR(INDEX('상품정보(1)'!R:R,MATCH(발주서!P315,'상품정보(1)'!F:F,0))," ")</f>
        <v> </v>
      </c>
      <c r="O315" s="43"/>
      <c r="P315" s="44" t="str">
        <f>IFERROR(INDEX('상품정보(1)'!F:F,MATCH(발주서!O315,'상품정보(1)'!E:E,0))," ")</f>
        <v> </v>
      </c>
      <c r="Q315" s="49"/>
      <c r="R315" s="44">
        <f t="shared" si="16"/>
      </c>
      <c r="S315" s="44"/>
      <c r="T315" s="44">
        <f t="shared" si="17"/>
      </c>
      <c r="U315" s="44"/>
      <c r="V315" s="44"/>
      <c r="W315" s="44"/>
      <c r="X315" s="44"/>
    </row>
    <row r="316" ht="15" customHeight="1" spans="1:24" x14ac:dyDescent="0.25">
      <c r="A316" s="40"/>
      <c r="B316" s="46"/>
      <c r="C316" s="42"/>
      <c r="D316" s="43"/>
      <c r="E316" s="10"/>
      <c r="F316" s="44"/>
      <c r="G316" s="45"/>
      <c r="H316" s="46" t="str">
        <f>IFERROR(VLOOKUP(E316,배송지!A:C,3,0)," ")</f>
        <v> </v>
      </c>
      <c r="I316" s="44"/>
      <c r="J316" s="44" t="str">
        <f>IFERROR(VLOOKUP(E316,배송지!A:C,2,0)," ")</f>
        <v> </v>
      </c>
      <c r="K316" s="44"/>
      <c r="L316" s="44" t="str">
        <f t="shared" si="15"/>
        <v>  </v>
      </c>
      <c r="M316" s="43"/>
      <c r="N316" s="44" t="str">
        <f> IFERROR(INDEX('상품정보(1)'!R:R,MATCH(발주서!P316,'상품정보(1)'!F:F,0))," ")</f>
        <v> </v>
      </c>
      <c r="O316" s="43"/>
      <c r="P316" s="44" t="str">
        <f>IFERROR(INDEX('상품정보(1)'!F:F,MATCH(발주서!O316,'상품정보(1)'!E:E,0))," ")</f>
        <v> </v>
      </c>
      <c r="Q316" s="49"/>
      <c r="R316" s="44">
        <f t="shared" si="16"/>
      </c>
      <c r="S316" s="44"/>
      <c r="T316" s="44">
        <f t="shared" si="17"/>
      </c>
      <c r="U316" s="44"/>
      <c r="V316" s="44"/>
      <c r="W316" s="44"/>
      <c r="X316" s="44"/>
    </row>
    <row r="317" ht="15" customHeight="1" spans="1:24" x14ac:dyDescent="0.25">
      <c r="A317" s="40"/>
      <c r="B317" s="46"/>
      <c r="C317" s="42"/>
      <c r="D317" s="43"/>
      <c r="E317" s="10"/>
      <c r="F317" s="44"/>
      <c r="G317" s="45"/>
      <c r="H317" s="46" t="str">
        <f>IFERROR(VLOOKUP(E317,배송지!A:C,3,0)," ")</f>
        <v> </v>
      </c>
      <c r="I317" s="44"/>
      <c r="J317" s="44" t="str">
        <f>IFERROR(VLOOKUP(E317,배송지!A:C,2,0)," ")</f>
        <v> </v>
      </c>
      <c r="K317" s="44"/>
      <c r="L317" s="44" t="str">
        <f t="shared" si="15"/>
        <v>  </v>
      </c>
      <c r="M317" s="43"/>
      <c r="N317" s="44" t="str">
        <f> IFERROR(INDEX('상품정보(1)'!R:R,MATCH(발주서!P317,'상품정보(1)'!F:F,0))," ")</f>
        <v> </v>
      </c>
      <c r="O317" s="43"/>
      <c r="P317" s="44" t="str">
        <f>IFERROR(INDEX('상품정보(1)'!F:F,MATCH(발주서!O317,'상품정보(1)'!E:E,0))," ")</f>
        <v> </v>
      </c>
      <c r="Q317" s="49"/>
      <c r="R317" s="44">
        <f t="shared" si="16"/>
      </c>
      <c r="S317" s="44"/>
      <c r="T317" s="44">
        <f t="shared" si="17"/>
      </c>
      <c r="U317" s="44"/>
      <c r="V317" s="44"/>
      <c r="W317" s="44"/>
      <c r="X317" s="44"/>
    </row>
    <row r="318" ht="15" customHeight="1" spans="1:24" x14ac:dyDescent="0.25">
      <c r="A318" s="40"/>
      <c r="B318" s="46"/>
      <c r="C318" s="42"/>
      <c r="D318" s="43"/>
      <c r="E318" s="10"/>
      <c r="F318" s="44"/>
      <c r="G318" s="45"/>
      <c r="H318" s="46" t="str">
        <f>IFERROR(VLOOKUP(E318,배송지!A:C,3,0)," ")</f>
        <v> </v>
      </c>
      <c r="I318" s="44"/>
      <c r="J318" s="44" t="str">
        <f>IFERROR(VLOOKUP(E318,배송지!A:C,2,0)," ")</f>
        <v> </v>
      </c>
      <c r="K318" s="44"/>
      <c r="L318" s="44" t="str">
        <f t="shared" si="15"/>
        <v>  </v>
      </c>
      <c r="M318" s="43"/>
      <c r="N318" s="44" t="str">
        <f> IFERROR(INDEX('상품정보(1)'!R:R,MATCH(발주서!P318,'상품정보(1)'!F:F,0))," ")</f>
        <v> </v>
      </c>
      <c r="O318" s="43"/>
      <c r="P318" s="44" t="str">
        <f>IFERROR(INDEX('상품정보(1)'!F:F,MATCH(발주서!O318,'상품정보(1)'!E:E,0))," ")</f>
        <v> </v>
      </c>
      <c r="Q318" s="49"/>
      <c r="R318" s="44">
        <f t="shared" si="16"/>
      </c>
      <c r="S318" s="44"/>
      <c r="T318" s="44">
        <f t="shared" si="17"/>
      </c>
      <c r="U318" s="44"/>
      <c r="V318" s="44"/>
      <c r="W318" s="44"/>
      <c r="X318" s="44"/>
    </row>
    <row r="319" ht="15" customHeight="1" spans="1:24" x14ac:dyDescent="0.25">
      <c r="A319" s="40"/>
      <c r="B319" s="46"/>
      <c r="C319" s="42"/>
      <c r="D319" s="43"/>
      <c r="E319" s="10"/>
      <c r="F319" s="44"/>
      <c r="G319" s="45"/>
      <c r="H319" s="46" t="str">
        <f>IFERROR(VLOOKUP(E319,배송지!A:C,3,0)," ")</f>
        <v> </v>
      </c>
      <c r="I319" s="44"/>
      <c r="J319" s="44" t="str">
        <f>IFERROR(VLOOKUP(E319,배송지!A:C,2,0)," ")</f>
        <v> </v>
      </c>
      <c r="K319" s="44"/>
      <c r="L319" s="44" t="str">
        <f t="shared" si="15"/>
        <v>  </v>
      </c>
      <c r="M319" s="43"/>
      <c r="N319" s="44" t="str">
        <f> IFERROR(INDEX('상품정보(1)'!R:R,MATCH(발주서!P319,'상품정보(1)'!F:F,0))," ")</f>
        <v> </v>
      </c>
      <c r="O319" s="43"/>
      <c r="P319" s="44" t="str">
        <f>IFERROR(INDEX('상품정보(1)'!F:F,MATCH(발주서!O319,'상품정보(1)'!E:E,0))," ")</f>
        <v> </v>
      </c>
      <c r="Q319" s="49"/>
      <c r="R319" s="44">
        <f t="shared" si="16"/>
      </c>
      <c r="S319" s="44"/>
      <c r="T319" s="44">
        <f t="shared" si="17"/>
      </c>
      <c r="U319" s="44"/>
      <c r="V319" s="44"/>
      <c r="W319" s="44"/>
      <c r="X319" s="44"/>
    </row>
    <row r="320" ht="15" customHeight="1" spans="1:24" x14ac:dyDescent="0.25">
      <c r="A320" s="40"/>
      <c r="B320" s="46"/>
      <c r="C320" s="42"/>
      <c r="D320" s="43"/>
      <c r="E320" s="10"/>
      <c r="F320" s="44"/>
      <c r="G320" s="45"/>
      <c r="H320" s="46" t="str">
        <f>IFERROR(VLOOKUP(E320,배송지!A:C,3,0)," ")</f>
        <v> </v>
      </c>
      <c r="I320" s="44"/>
      <c r="J320" s="44" t="str">
        <f>IFERROR(VLOOKUP(E320,배송지!A:C,2,0)," ")</f>
        <v> </v>
      </c>
      <c r="K320" s="44"/>
      <c r="L320" s="44" t="str">
        <f t="shared" si="15"/>
        <v>  </v>
      </c>
      <c r="M320" s="43"/>
      <c r="N320" s="44" t="str">
        <f> IFERROR(INDEX('상품정보(1)'!R:R,MATCH(발주서!P320,'상품정보(1)'!F:F,0))," ")</f>
        <v> </v>
      </c>
      <c r="O320" s="43"/>
      <c r="P320" s="44" t="str">
        <f>IFERROR(INDEX('상품정보(1)'!F:F,MATCH(발주서!O320,'상품정보(1)'!E:E,0))," ")</f>
        <v> </v>
      </c>
      <c r="Q320" s="49"/>
      <c r="R320" s="44">
        <f t="shared" si="16"/>
      </c>
      <c r="S320" s="44"/>
      <c r="T320" s="44">
        <f t="shared" si="17"/>
      </c>
      <c r="U320" s="44"/>
      <c r="V320" s="44"/>
      <c r="W320" s="44"/>
      <c r="X320" s="44"/>
    </row>
    <row r="321" ht="15" customHeight="1" spans="1:24" x14ac:dyDescent="0.25">
      <c r="A321" s="40"/>
      <c r="B321" s="46"/>
      <c r="C321" s="42"/>
      <c r="D321" s="43"/>
      <c r="E321" s="10"/>
      <c r="F321" s="44"/>
      <c r="G321" s="45"/>
      <c r="H321" s="46" t="str">
        <f>IFERROR(VLOOKUP(E321,배송지!A:C,3,0)," ")</f>
        <v> </v>
      </c>
      <c r="I321" s="44"/>
      <c r="J321" s="44" t="str">
        <f>IFERROR(VLOOKUP(E321,배송지!A:C,2,0)," ")</f>
        <v> </v>
      </c>
      <c r="K321" s="44"/>
      <c r="L321" s="44" t="str">
        <f t="shared" si="15"/>
        <v>  </v>
      </c>
      <c r="M321" s="43"/>
      <c r="N321" s="44" t="str">
        <f> IFERROR(INDEX('상품정보(1)'!R:R,MATCH(발주서!P321,'상품정보(1)'!F:F,0))," ")</f>
        <v> </v>
      </c>
      <c r="O321" s="43"/>
      <c r="P321" s="44" t="str">
        <f>IFERROR(INDEX('상품정보(1)'!F:F,MATCH(발주서!O321,'상품정보(1)'!E:E,0))," ")</f>
        <v> </v>
      </c>
      <c r="Q321" s="49"/>
      <c r="R321" s="44">
        <f t="shared" si="16"/>
      </c>
      <c r="S321" s="44"/>
      <c r="T321" s="44">
        <f t="shared" si="17"/>
      </c>
      <c r="U321" s="44"/>
      <c r="V321" s="44"/>
      <c r="W321" s="44"/>
      <c r="X321" s="44"/>
    </row>
    <row r="322" ht="15" customHeight="1" spans="1:24" x14ac:dyDescent="0.25">
      <c r="A322" s="40"/>
      <c r="B322" s="46"/>
      <c r="C322" s="42"/>
      <c r="D322" s="43"/>
      <c r="E322" s="10"/>
      <c r="F322" s="44"/>
      <c r="G322" s="45"/>
      <c r="H322" s="46" t="str">
        <f>IFERROR(VLOOKUP(E322,배송지!A:C,3,0)," ")</f>
        <v> </v>
      </c>
      <c r="I322" s="44"/>
      <c r="J322" s="44" t="str">
        <f>IFERROR(VLOOKUP(E322,배송지!A:C,2,0)," ")</f>
        <v> </v>
      </c>
      <c r="K322" s="44"/>
      <c r="L322" s="44" t="str">
        <f t="shared" ref="L322:L327" si="18">O322&amp;" "&amp;P322</f>
        <v>  </v>
      </c>
      <c r="M322" s="43"/>
      <c r="N322" s="44" t="str">
        <f> IFERROR(INDEX('상품정보(1)'!R:R,MATCH(발주서!P322,'상품정보(1)'!F:F,0))," ")</f>
        <v> </v>
      </c>
      <c r="O322" s="43"/>
      <c r="P322" s="44" t="str">
        <f>IFERROR(INDEX('상품정보(1)'!F:F,MATCH(발주서!O322,'상품정보(1)'!E:E,0))," ")</f>
        <v> </v>
      </c>
      <c r="Q322" s="49"/>
      <c r="R322" s="44">
        <f t="shared" ref="R322:R327" si="19">LEFT(T322,8)</f>
      </c>
      <c r="S322" s="44"/>
      <c r="T322" s="44">
        <f t="shared" ref="T322:T327" si="20">IF(Q322="","",Q322)</f>
      </c>
      <c r="U322" s="44"/>
      <c r="V322" s="44"/>
      <c r="W322" s="44"/>
      <c r="X322" s="44"/>
    </row>
    <row r="323" ht="15" customHeight="1" spans="1:24" x14ac:dyDescent="0.25">
      <c r="A323" s="40"/>
      <c r="B323" s="46"/>
      <c r="C323" s="42"/>
      <c r="D323" s="43"/>
      <c r="E323" s="10"/>
      <c r="F323" s="44"/>
      <c r="G323" s="45"/>
      <c r="H323" s="46" t="str">
        <f>IFERROR(VLOOKUP(E323,배송지!A:C,3,0)," ")</f>
        <v> </v>
      </c>
      <c r="I323" s="44"/>
      <c r="J323" s="44" t="str">
        <f>IFERROR(VLOOKUP(E323,배송지!A:C,2,0)," ")</f>
        <v> </v>
      </c>
      <c r="K323" s="44"/>
      <c r="L323" s="44" t="str">
        <f t="shared" si="18"/>
        <v>  </v>
      </c>
      <c r="M323" s="43"/>
      <c r="N323" s="44" t="str">
        <f> IFERROR(INDEX('상품정보(1)'!R:R,MATCH(발주서!P323,'상품정보(1)'!F:F,0))," ")</f>
        <v> </v>
      </c>
      <c r="O323" s="43"/>
      <c r="P323" s="44" t="str">
        <f>IFERROR(INDEX('상품정보(1)'!F:F,MATCH(발주서!O323,'상품정보(1)'!E:E,0))," ")</f>
        <v> </v>
      </c>
      <c r="Q323" s="49"/>
      <c r="R323" s="44">
        <f t="shared" si="19"/>
      </c>
      <c r="S323" s="44"/>
      <c r="T323" s="44">
        <f t="shared" si="20"/>
      </c>
      <c r="U323" s="44"/>
      <c r="V323" s="44"/>
      <c r="W323" s="44"/>
      <c r="X323" s="44"/>
    </row>
    <row r="324" ht="15" customHeight="1" spans="1:24" x14ac:dyDescent="0.25">
      <c r="A324" s="40"/>
      <c r="B324" s="46"/>
      <c r="C324" s="42"/>
      <c r="D324" s="43"/>
      <c r="E324" s="10"/>
      <c r="F324" s="44"/>
      <c r="G324" s="45"/>
      <c r="H324" s="46" t="str">
        <f>IFERROR(VLOOKUP(E324,배송지!A:C,3,0)," ")</f>
        <v> </v>
      </c>
      <c r="I324" s="44"/>
      <c r="J324" s="44" t="str">
        <f>IFERROR(VLOOKUP(E324,배송지!A:C,2,0)," ")</f>
        <v> </v>
      </c>
      <c r="K324" s="44"/>
      <c r="L324" s="44" t="str">
        <f t="shared" si="18"/>
        <v>  </v>
      </c>
      <c r="M324" s="43"/>
      <c r="N324" s="44" t="str">
        <f> IFERROR(INDEX('상품정보(1)'!R:R,MATCH(발주서!P324,'상품정보(1)'!F:F,0))," ")</f>
        <v> </v>
      </c>
      <c r="O324" s="43"/>
      <c r="P324" s="44" t="str">
        <f>IFERROR(INDEX('상품정보(1)'!F:F,MATCH(발주서!O324,'상품정보(1)'!E:E,0))," ")</f>
        <v> </v>
      </c>
      <c r="Q324" s="49"/>
      <c r="R324" s="44">
        <f t="shared" si="19"/>
      </c>
      <c r="S324" s="44"/>
      <c r="T324" s="44">
        <f t="shared" si="20"/>
      </c>
      <c r="U324" s="44"/>
      <c r="V324" s="44"/>
      <c r="W324" s="44"/>
      <c r="X324" s="44"/>
    </row>
    <row r="325" ht="15" customHeight="1" spans="1:24" x14ac:dyDescent="0.25">
      <c r="A325" s="40"/>
      <c r="B325" s="46"/>
      <c r="C325" s="42"/>
      <c r="D325" s="43"/>
      <c r="E325" s="10"/>
      <c r="F325" s="44"/>
      <c r="G325" s="45"/>
      <c r="H325" s="46" t="str">
        <f>IFERROR(VLOOKUP(E325,배송지!A:C,3,0)," ")</f>
        <v> </v>
      </c>
      <c r="I325" s="44"/>
      <c r="J325" s="44" t="str">
        <f>IFERROR(VLOOKUP(E325,배송지!A:C,2,0)," ")</f>
        <v> </v>
      </c>
      <c r="K325" s="44"/>
      <c r="L325" s="44" t="str">
        <f t="shared" si="18"/>
        <v>  </v>
      </c>
      <c r="M325" s="43"/>
      <c r="N325" s="44" t="str">
        <f> IFERROR(INDEX('상품정보(1)'!R:R,MATCH(발주서!P325,'상품정보(1)'!F:F,0))," ")</f>
        <v> </v>
      </c>
      <c r="O325" s="43"/>
      <c r="P325" s="44" t="str">
        <f>IFERROR(INDEX('상품정보(1)'!F:F,MATCH(발주서!O325,'상품정보(1)'!E:E,0))," ")</f>
        <v> </v>
      </c>
      <c r="Q325" s="49"/>
      <c r="R325" s="44">
        <f t="shared" si="19"/>
      </c>
      <c r="S325" s="44"/>
      <c r="T325" s="44">
        <f t="shared" si="20"/>
      </c>
      <c r="U325" s="44"/>
      <c r="V325" s="44"/>
      <c r="W325" s="44"/>
      <c r="X325" s="44"/>
    </row>
    <row r="326" ht="15" customHeight="1" spans="1:24" x14ac:dyDescent="0.25">
      <c r="A326" s="40"/>
      <c r="B326" s="46"/>
      <c r="C326" s="42"/>
      <c r="D326" s="43"/>
      <c r="E326" s="10"/>
      <c r="F326" s="44"/>
      <c r="G326" s="45"/>
      <c r="H326" s="46" t="str">
        <f>IFERROR(VLOOKUP(E326,배송지!A:C,3,0)," ")</f>
        <v> </v>
      </c>
      <c r="I326" s="44"/>
      <c r="J326" s="44" t="str">
        <f>IFERROR(VLOOKUP(E326,배송지!A:C,2,0)," ")</f>
        <v> </v>
      </c>
      <c r="K326" s="44"/>
      <c r="L326" s="44" t="str">
        <f t="shared" si="18"/>
        <v>  </v>
      </c>
      <c r="M326" s="43"/>
      <c r="N326" s="44" t="str">
        <f> IFERROR(INDEX('상품정보(1)'!R:R,MATCH(발주서!P326,'상품정보(1)'!F:F,0))," ")</f>
        <v> </v>
      </c>
      <c r="O326" s="43"/>
      <c r="P326" s="44" t="str">
        <f>IFERROR(INDEX('상품정보(1)'!F:F,MATCH(발주서!O326,'상품정보(1)'!E:E,0))," ")</f>
        <v> </v>
      </c>
      <c r="Q326" s="49"/>
      <c r="R326" s="44">
        <f t="shared" si="19"/>
      </c>
      <c r="S326" s="44"/>
      <c r="T326" s="44">
        <f t="shared" si="20"/>
      </c>
      <c r="U326" s="44"/>
      <c r="V326" s="44"/>
      <c r="W326" s="44"/>
      <c r="X326" s="44"/>
    </row>
    <row r="327" ht="15" customHeight="1" spans="1:24" x14ac:dyDescent="0.25">
      <c r="A327" s="40"/>
      <c r="B327" s="46"/>
      <c r="C327" s="42"/>
      <c r="D327" s="43"/>
      <c r="E327" s="10"/>
      <c r="F327" s="44"/>
      <c r="G327" s="45"/>
      <c r="H327" s="46" t="str">
        <f>IFERROR(VLOOKUP(E327,배송지!A:C,3,0)," ")</f>
        <v> </v>
      </c>
      <c r="I327" s="44"/>
      <c r="J327" s="44" t="str">
        <f>IFERROR(VLOOKUP(E327,배송지!A:C,2,0)," ")</f>
        <v> </v>
      </c>
      <c r="K327" s="44"/>
      <c r="L327" s="44" t="str">
        <f t="shared" si="18"/>
        <v>  </v>
      </c>
      <c r="M327" s="43"/>
      <c r="N327" s="44" t="str">
        <f> IFERROR(INDEX('상품정보(1)'!R:R,MATCH(발주서!P327,'상품정보(1)'!F:F,0))," ")</f>
        <v> </v>
      </c>
      <c r="O327" s="43"/>
      <c r="P327" s="44" t="str">
        <f>IFERROR(INDEX('상품정보(1)'!F:F,MATCH(발주서!O327,'상품정보(1)'!E:E,0))," ")</f>
        <v> </v>
      </c>
      <c r="Q327" s="49"/>
      <c r="R327" s="44">
        <f t="shared" si="19"/>
      </c>
      <c r="S327" s="44"/>
      <c r="T327" s="44">
        <f t="shared" si="20"/>
      </c>
      <c r="U327" s="44"/>
      <c r="V327" s="44"/>
      <c r="W327" s="44"/>
      <c r="X327" s="44"/>
    </row>
    <row r="328" ht="15" customHeight="1" spans="1:24" x14ac:dyDescent="0.25">
      <c r="A328" s="40"/>
      <c r="B328" s="46"/>
      <c r="C328" s="42"/>
      <c r="D328" s="43"/>
      <c r="E328" s="10"/>
      <c r="F328" s="44"/>
      <c r="G328" s="45"/>
      <c r="H328" s="46"/>
      <c r="I328" s="44"/>
      <c r="J328" s="44"/>
      <c r="K328" s="44"/>
      <c r="L328" s="44"/>
      <c r="M328" s="43"/>
      <c r="N328" s="44"/>
      <c r="O328" s="43"/>
      <c r="P328" s="44"/>
      <c r="Q328" s="49"/>
      <c r="R328" s="44"/>
      <c r="S328" s="44"/>
      <c r="T328" s="44"/>
      <c r="U328" s="44"/>
      <c r="V328" s="44"/>
      <c r="W328" s="44"/>
      <c r="X328" s="44"/>
    </row>
    <row r="329" ht="15" customHeight="1" spans="1:24" x14ac:dyDescent="0.25">
      <c r="A329" s="40"/>
      <c r="B329" s="46"/>
      <c r="C329" s="42"/>
      <c r="D329" s="43"/>
      <c r="E329" s="10"/>
      <c r="F329" s="44"/>
      <c r="G329" s="45"/>
      <c r="H329" s="46"/>
      <c r="I329" s="44"/>
      <c r="J329" s="44"/>
      <c r="K329" s="44"/>
      <c r="L329" s="44"/>
      <c r="M329" s="43"/>
      <c r="N329" s="44"/>
      <c r="O329" s="43"/>
      <c r="P329" s="44"/>
      <c r="Q329" s="49"/>
      <c r="R329" s="44"/>
      <c r="S329" s="44"/>
      <c r="T329" s="44"/>
      <c r="U329" s="44"/>
      <c r="V329" s="44"/>
      <c r="W329" s="44"/>
      <c r="X329" s="44"/>
    </row>
    <row r="330" ht="15" customHeight="1" spans="1:24" x14ac:dyDescent="0.25">
      <c r="A330" s="40"/>
      <c r="B330" s="46"/>
      <c r="C330" s="42"/>
      <c r="D330" s="43"/>
      <c r="E330" s="10"/>
      <c r="F330" s="44"/>
      <c r="G330" s="45"/>
      <c r="H330" s="46"/>
      <c r="I330" s="44"/>
      <c r="J330" s="44"/>
      <c r="K330" s="44"/>
      <c r="L330" s="44"/>
      <c r="M330" s="43"/>
      <c r="N330" s="44"/>
      <c r="O330" s="43"/>
      <c r="P330" s="44"/>
      <c r="Q330" s="49"/>
      <c r="R330" s="44"/>
      <c r="S330" s="44"/>
      <c r="T330" s="44"/>
      <c r="U330" s="44"/>
      <c r="V330" s="44"/>
      <c r="W330" s="44"/>
      <c r="X330" s="44"/>
    </row>
    <row r="331" ht="15" customHeight="1" spans="1:24" x14ac:dyDescent="0.25">
      <c r="A331" s="40"/>
      <c r="B331" s="46"/>
      <c r="C331" s="42"/>
      <c r="D331" s="43"/>
      <c r="E331" s="10"/>
      <c r="F331" s="44"/>
      <c r="G331" s="45"/>
      <c r="H331" s="46"/>
      <c r="I331" s="44"/>
      <c r="J331" s="44"/>
      <c r="K331" s="44"/>
      <c r="L331" s="44"/>
      <c r="M331" s="43"/>
      <c r="N331" s="44"/>
      <c r="O331" s="43"/>
      <c r="P331" s="44"/>
      <c r="Q331" s="49"/>
      <c r="R331" s="44"/>
      <c r="S331" s="44"/>
      <c r="T331" s="44"/>
      <c r="U331" s="44"/>
      <c r="V331" s="44"/>
      <c r="W331" s="44"/>
      <c r="X331" s="44"/>
    </row>
    <row r="332" ht="15" customHeight="1" spans="1:24" x14ac:dyDescent="0.25">
      <c r="A332" s="40"/>
      <c r="B332" s="46"/>
      <c r="C332" s="42"/>
      <c r="D332" s="43"/>
      <c r="E332" s="10"/>
      <c r="F332" s="44"/>
      <c r="G332" s="45"/>
      <c r="H332" s="46"/>
      <c r="I332" s="44"/>
      <c r="J332" s="44"/>
      <c r="K332" s="44"/>
      <c r="L332" s="44"/>
      <c r="M332" s="43"/>
      <c r="N332" s="44"/>
      <c r="O332" s="43"/>
      <c r="P332" s="44"/>
      <c r="Q332" s="49"/>
      <c r="R332" s="44"/>
      <c r="S332" s="44"/>
      <c r="T332" s="44"/>
      <c r="U332" s="44"/>
      <c r="V332" s="44"/>
      <c r="W332" s="44"/>
      <c r="X332" s="44"/>
    </row>
    <row r="333" ht="15" customHeight="1" spans="1:24" x14ac:dyDescent="0.25">
      <c r="A333" s="40"/>
      <c r="B333" s="46"/>
      <c r="C333" s="42"/>
      <c r="D333" s="43"/>
      <c r="E333" s="10"/>
      <c r="F333" s="44"/>
      <c r="G333" s="45"/>
      <c r="H333" s="46"/>
      <c r="I333" s="44"/>
      <c r="J333" s="44"/>
      <c r="K333" s="44"/>
      <c r="L333" s="44"/>
      <c r="M333" s="43"/>
      <c r="N333" s="44"/>
      <c r="O333" s="43"/>
      <c r="P333" s="44"/>
      <c r="Q333" s="49"/>
      <c r="R333" s="44"/>
      <c r="S333" s="44"/>
      <c r="T333" s="44"/>
      <c r="U333" s="44"/>
      <c r="V333" s="44"/>
      <c r="W333" s="44"/>
      <c r="X333" s="44"/>
    </row>
    <row r="334" ht="15" customHeight="1" spans="1:24" x14ac:dyDescent="0.25">
      <c r="A334" s="40"/>
      <c r="B334" s="46"/>
      <c r="C334" s="42"/>
      <c r="D334" s="43"/>
      <c r="E334" s="10"/>
      <c r="F334" s="44"/>
      <c r="G334" s="45"/>
      <c r="H334" s="46"/>
      <c r="I334" s="44"/>
      <c r="J334" s="44"/>
      <c r="K334" s="44"/>
      <c r="L334" s="44"/>
      <c r="M334" s="43"/>
      <c r="N334" s="44"/>
      <c r="O334" s="43"/>
      <c r="P334" s="44"/>
      <c r="Q334" s="49"/>
      <c r="R334" s="44"/>
      <c r="S334" s="44"/>
      <c r="T334" s="44"/>
      <c r="U334" s="44"/>
      <c r="V334" s="44"/>
      <c r="W334" s="44"/>
      <c r="X334" s="44"/>
    </row>
    <row r="335" ht="15" customHeight="1" spans="1:24" x14ac:dyDescent="0.25">
      <c r="A335" s="40"/>
      <c r="B335" s="46"/>
      <c r="C335" s="42"/>
      <c r="D335" s="43"/>
      <c r="E335" s="10"/>
      <c r="F335" s="44"/>
      <c r="G335" s="45"/>
      <c r="H335" s="46"/>
      <c r="I335" s="44"/>
      <c r="J335" s="44"/>
      <c r="K335" s="44"/>
      <c r="L335" s="44"/>
      <c r="M335" s="43"/>
      <c r="N335" s="44"/>
      <c r="O335" s="43"/>
      <c r="P335" s="44"/>
      <c r="Q335" s="49"/>
      <c r="R335" s="44"/>
      <c r="S335" s="44"/>
      <c r="T335" s="44"/>
      <c r="U335" s="44"/>
      <c r="V335" s="44"/>
      <c r="W335" s="44"/>
      <c r="X335" s="44"/>
    </row>
    <row r="336" ht="15" customHeight="1" spans="1:24" x14ac:dyDescent="0.25">
      <c r="A336" s="40"/>
      <c r="B336" s="46"/>
      <c r="C336" s="42"/>
      <c r="D336" s="43"/>
      <c r="E336" s="10"/>
      <c r="F336" s="44"/>
      <c r="G336" s="45"/>
      <c r="H336" s="46"/>
      <c r="I336" s="44"/>
      <c r="J336" s="44"/>
      <c r="K336" s="44"/>
      <c r="L336" s="44"/>
      <c r="M336" s="43"/>
      <c r="N336" s="44"/>
      <c r="O336" s="43"/>
      <c r="P336" s="44"/>
      <c r="Q336" s="49"/>
      <c r="R336" s="44"/>
      <c r="S336" s="44"/>
      <c r="T336" s="44"/>
      <c r="U336" s="44"/>
      <c r="V336" s="44"/>
      <c r="W336" s="44"/>
      <c r="X336" s="44"/>
    </row>
    <row r="337" ht="15" customHeight="1" spans="1:24" x14ac:dyDescent="0.25">
      <c r="A337" s="40"/>
      <c r="B337" s="46"/>
      <c r="C337" s="42"/>
      <c r="D337" s="43"/>
      <c r="E337" s="10"/>
      <c r="F337" s="44"/>
      <c r="G337" s="45"/>
      <c r="H337" s="46"/>
      <c r="I337" s="44"/>
      <c r="J337" s="44"/>
      <c r="K337" s="44"/>
      <c r="L337" s="44"/>
      <c r="M337" s="43"/>
      <c r="N337" s="44"/>
      <c r="O337" s="43"/>
      <c r="P337" s="44"/>
      <c r="Q337" s="49"/>
      <c r="R337" s="44"/>
      <c r="S337" s="44"/>
      <c r="T337" s="44"/>
      <c r="U337" s="44"/>
      <c r="V337" s="44"/>
      <c r="W337" s="44"/>
      <c r="X337" s="44"/>
    </row>
    <row r="338" ht="15" customHeight="1" spans="1:24" x14ac:dyDescent="0.25">
      <c r="A338" s="40"/>
      <c r="B338" s="46"/>
      <c r="C338" s="42"/>
      <c r="D338" s="43"/>
      <c r="E338" s="10"/>
      <c r="F338" s="44"/>
      <c r="G338" s="45"/>
      <c r="H338" s="46"/>
      <c r="I338" s="44"/>
      <c r="J338" s="44"/>
      <c r="K338" s="44"/>
      <c r="L338" s="44"/>
      <c r="M338" s="43"/>
      <c r="N338" s="44"/>
      <c r="O338" s="43"/>
      <c r="P338" s="44"/>
      <c r="Q338" s="49"/>
      <c r="R338" s="44"/>
      <c r="S338" s="44"/>
      <c r="T338" s="44"/>
      <c r="U338" s="44"/>
      <c r="V338" s="44"/>
      <c r="W338" s="44"/>
      <c r="X338" s="44"/>
    </row>
    <row r="339" ht="15" customHeight="1" spans="1:24" x14ac:dyDescent="0.25">
      <c r="A339" s="40"/>
      <c r="B339" s="46"/>
      <c r="C339" s="42"/>
      <c r="D339" s="43"/>
      <c r="E339" s="10"/>
      <c r="F339" s="44"/>
      <c r="G339" s="45"/>
      <c r="H339" s="46"/>
      <c r="I339" s="44"/>
      <c r="J339" s="44"/>
      <c r="K339" s="44"/>
      <c r="L339" s="44"/>
      <c r="M339" s="43"/>
      <c r="N339" s="44"/>
      <c r="O339" s="43"/>
      <c r="P339" s="44"/>
      <c r="Q339" s="49"/>
      <c r="R339" s="44"/>
      <c r="S339" s="44"/>
      <c r="T339" s="44"/>
      <c r="U339" s="44"/>
      <c r="V339" s="44"/>
      <c r="W339" s="44"/>
      <c r="X339" s="44"/>
    </row>
    <row r="340" ht="15" customHeight="1" spans="1:24" x14ac:dyDescent="0.25">
      <c r="A340" s="40"/>
      <c r="B340" s="46"/>
      <c r="C340" s="42"/>
      <c r="D340" s="43"/>
      <c r="E340" s="10"/>
      <c r="F340" s="44"/>
      <c r="G340" s="45"/>
      <c r="H340" s="46"/>
      <c r="I340" s="44"/>
      <c r="J340" s="44"/>
      <c r="K340" s="44"/>
      <c r="L340" s="44"/>
      <c r="M340" s="43"/>
      <c r="N340" s="44"/>
      <c r="O340" s="43"/>
      <c r="P340" s="44"/>
      <c r="Q340" s="49"/>
      <c r="R340" s="44"/>
      <c r="S340" s="44"/>
      <c r="T340" s="44"/>
      <c r="U340" s="44"/>
      <c r="V340" s="44"/>
      <c r="W340" s="44"/>
      <c r="X340" s="44"/>
    </row>
    <row r="341" ht="15" customHeight="1" spans="1:24" x14ac:dyDescent="0.25">
      <c r="A341" s="40"/>
      <c r="B341" s="46"/>
      <c r="C341" s="42"/>
      <c r="D341" s="43"/>
      <c r="E341" s="10"/>
      <c r="F341" s="44"/>
      <c r="G341" s="45"/>
      <c r="H341" s="46"/>
      <c r="I341" s="44"/>
      <c r="J341" s="44"/>
      <c r="K341" s="44"/>
      <c r="L341" s="44"/>
      <c r="M341" s="43"/>
      <c r="N341" s="44"/>
      <c r="O341" s="43"/>
      <c r="P341" s="44"/>
      <c r="Q341" s="49"/>
      <c r="R341" s="44"/>
      <c r="S341" s="44"/>
      <c r="T341" s="44"/>
      <c r="U341" s="44"/>
      <c r="V341" s="44"/>
      <c r="W341" s="44"/>
      <c r="X341" s="44"/>
    </row>
    <row r="342" ht="15" customHeight="1" spans="1:24" x14ac:dyDescent="0.25">
      <c r="A342" s="40"/>
      <c r="B342" s="46"/>
      <c r="C342" s="42"/>
      <c r="D342" s="43"/>
      <c r="E342" s="10"/>
      <c r="F342" s="44"/>
      <c r="G342" s="45"/>
      <c r="H342" s="46"/>
      <c r="I342" s="44"/>
      <c r="J342" s="44"/>
      <c r="K342" s="44"/>
      <c r="L342" s="44"/>
      <c r="M342" s="43"/>
      <c r="N342" s="44"/>
      <c r="O342" s="43"/>
      <c r="P342" s="44"/>
      <c r="Q342" s="49"/>
      <c r="R342" s="44"/>
      <c r="S342" s="44"/>
      <c r="T342" s="44"/>
      <c r="U342" s="44"/>
      <c r="V342" s="44"/>
      <c r="W342" s="44"/>
      <c r="X342" s="44"/>
    </row>
    <row r="343" ht="15" customHeight="1" spans="1:24" x14ac:dyDescent="0.25">
      <c r="A343" s="40"/>
      <c r="B343" s="46"/>
      <c r="C343" s="42"/>
      <c r="D343" s="43"/>
      <c r="E343" s="10"/>
      <c r="F343" s="44"/>
      <c r="G343" s="45"/>
      <c r="H343" s="46"/>
      <c r="I343" s="44"/>
      <c r="J343" s="44"/>
      <c r="K343" s="44"/>
      <c r="L343" s="44"/>
      <c r="M343" s="43"/>
      <c r="N343" s="44"/>
      <c r="O343" s="43"/>
      <c r="P343" s="44"/>
      <c r="Q343" s="49"/>
      <c r="R343" s="44"/>
      <c r="S343" s="44"/>
      <c r="T343" s="44"/>
      <c r="U343" s="44"/>
      <c r="V343" s="44"/>
      <c r="W343" s="44"/>
      <c r="X343" s="44"/>
    </row>
    <row r="344" ht="15" customHeight="1" spans="1:24" x14ac:dyDescent="0.25">
      <c r="A344" s="40"/>
      <c r="B344" s="46"/>
      <c r="C344" s="42"/>
      <c r="D344" s="43"/>
      <c r="E344" s="10"/>
      <c r="F344" s="44"/>
      <c r="G344" s="45"/>
      <c r="H344" s="46"/>
      <c r="I344" s="44"/>
      <c r="J344" s="44"/>
      <c r="K344" s="44"/>
      <c r="L344" s="44"/>
      <c r="M344" s="43"/>
      <c r="N344" s="44"/>
      <c r="O344" s="43"/>
      <c r="P344" s="44"/>
      <c r="Q344" s="49"/>
      <c r="R344" s="44"/>
      <c r="S344" s="44"/>
      <c r="T344" s="44"/>
      <c r="U344" s="44"/>
      <c r="V344" s="44"/>
      <c r="W344" s="44"/>
      <c r="X344" s="44"/>
    </row>
    <row r="345" ht="15" customHeight="1" spans="1:24" x14ac:dyDescent="0.25">
      <c r="A345" s="40"/>
      <c r="B345" s="46"/>
      <c r="C345" s="42"/>
      <c r="D345" s="43"/>
      <c r="E345" s="10"/>
      <c r="F345" s="44"/>
      <c r="G345" s="45"/>
      <c r="H345" s="46"/>
      <c r="I345" s="44"/>
      <c r="J345" s="44"/>
      <c r="K345" s="44"/>
      <c r="L345" s="44"/>
      <c r="M345" s="43"/>
      <c r="N345" s="44"/>
      <c r="O345" s="43"/>
      <c r="P345" s="44"/>
      <c r="Q345" s="49"/>
      <c r="R345" s="44"/>
      <c r="S345" s="44"/>
      <c r="T345" s="44"/>
      <c r="U345" s="44"/>
      <c r="V345" s="44"/>
      <c r="W345" s="44"/>
      <c r="X345" s="44"/>
    </row>
    <row r="346" ht="15" customHeight="1" spans="1:24" x14ac:dyDescent="0.25">
      <c r="A346" s="40"/>
      <c r="B346" s="46"/>
      <c r="C346" s="42"/>
      <c r="D346" s="43"/>
      <c r="E346" s="10"/>
      <c r="F346" s="44"/>
      <c r="G346" s="45"/>
      <c r="H346" s="46"/>
      <c r="I346" s="44"/>
      <c r="J346" s="44"/>
      <c r="K346" s="44"/>
      <c r="L346" s="44"/>
      <c r="M346" s="43"/>
      <c r="N346" s="44"/>
      <c r="O346" s="43"/>
      <c r="P346" s="44"/>
      <c r="Q346" s="49"/>
      <c r="R346" s="44"/>
      <c r="S346" s="44"/>
      <c r="T346" s="44"/>
      <c r="U346" s="44"/>
      <c r="V346" s="44"/>
      <c r="W346" s="44"/>
      <c r="X346" s="44"/>
    </row>
    <row r="347" ht="15" customHeight="1" spans="1:24" x14ac:dyDescent="0.25">
      <c r="A347" s="40"/>
      <c r="B347" s="46"/>
      <c r="C347" s="42"/>
      <c r="D347" s="43"/>
      <c r="E347" s="10"/>
      <c r="F347" s="44"/>
      <c r="G347" s="45"/>
      <c r="H347" s="46"/>
      <c r="I347" s="44"/>
      <c r="J347" s="44"/>
      <c r="K347" s="44"/>
      <c r="L347" s="44"/>
      <c r="M347" s="43"/>
      <c r="N347" s="44"/>
      <c r="O347" s="43"/>
      <c r="P347" s="44"/>
      <c r="Q347" s="49"/>
      <c r="R347" s="44"/>
      <c r="S347" s="44"/>
      <c r="T347" s="44"/>
      <c r="U347" s="44"/>
      <c r="V347" s="44"/>
      <c r="W347" s="44"/>
      <c r="X347" s="44"/>
    </row>
    <row r="348" ht="15" customHeight="1" spans="1:24" x14ac:dyDescent="0.25">
      <c r="A348" s="40"/>
      <c r="B348" s="46"/>
      <c r="C348" s="42"/>
      <c r="D348" s="43"/>
      <c r="E348" s="10"/>
      <c r="F348" s="44"/>
      <c r="G348" s="45"/>
      <c r="H348" s="46"/>
      <c r="I348" s="44"/>
      <c r="J348" s="44"/>
      <c r="K348" s="44"/>
      <c r="L348" s="44"/>
      <c r="M348" s="43"/>
      <c r="N348" s="44"/>
      <c r="O348" s="43"/>
      <c r="P348" s="44"/>
      <c r="Q348" s="49"/>
      <c r="R348" s="44"/>
      <c r="S348" s="44"/>
      <c r="T348" s="44"/>
      <c r="U348" s="44"/>
      <c r="V348" s="44"/>
      <c r="W348" s="44"/>
      <c r="X348" s="44"/>
    </row>
    <row r="349" ht="15" customHeight="1" spans="1:24" x14ac:dyDescent="0.25">
      <c r="A349" s="40"/>
      <c r="B349" s="46"/>
      <c r="C349" s="42"/>
      <c r="D349" s="43"/>
      <c r="E349" s="10"/>
      <c r="F349" s="44"/>
      <c r="G349" s="45"/>
      <c r="H349" s="46"/>
      <c r="I349" s="44"/>
      <c r="J349" s="44"/>
      <c r="K349" s="44"/>
      <c r="L349" s="44"/>
      <c r="M349" s="43"/>
      <c r="N349" s="44"/>
      <c r="O349" s="43"/>
      <c r="P349" s="44"/>
      <c r="Q349" s="49"/>
      <c r="R349" s="44"/>
      <c r="S349" s="44"/>
      <c r="T349" s="44"/>
      <c r="U349" s="44"/>
      <c r="V349" s="44"/>
      <c r="W349" s="44"/>
      <c r="X349" s="44"/>
    </row>
    <row r="350" ht="15" customHeight="1" spans="1:24" x14ac:dyDescent="0.25">
      <c r="A350" s="40"/>
      <c r="B350" s="46"/>
      <c r="C350" s="42"/>
      <c r="D350" s="43"/>
      <c r="E350" s="10"/>
      <c r="F350" s="44"/>
      <c r="G350" s="45"/>
      <c r="H350" s="46"/>
      <c r="I350" s="44"/>
      <c r="J350" s="44"/>
      <c r="K350" s="44"/>
      <c r="L350" s="44"/>
      <c r="M350" s="43"/>
      <c r="N350" s="44"/>
      <c r="O350" s="43"/>
      <c r="P350" s="44"/>
      <c r="Q350" s="49"/>
      <c r="R350" s="44"/>
      <c r="S350" s="44"/>
      <c r="T350" s="44"/>
      <c r="U350" s="44"/>
      <c r="V350" s="44"/>
      <c r="W350" s="44"/>
      <c r="X350" s="44"/>
    </row>
    <row r="351" ht="15" customHeight="1" spans="1:24" x14ac:dyDescent="0.25">
      <c r="A351" s="40"/>
      <c r="B351" s="46"/>
      <c r="C351" s="42"/>
      <c r="D351" s="43"/>
      <c r="E351" s="10"/>
      <c r="F351" s="44"/>
      <c r="G351" s="45"/>
      <c r="H351" s="46"/>
      <c r="I351" s="44"/>
      <c r="J351" s="44"/>
      <c r="K351" s="44"/>
      <c r="L351" s="44"/>
      <c r="M351" s="43"/>
      <c r="N351" s="44"/>
      <c r="O351" s="43"/>
      <c r="P351" s="44"/>
      <c r="Q351" s="49"/>
      <c r="R351" s="44"/>
      <c r="S351" s="44"/>
      <c r="T351" s="44"/>
      <c r="U351" s="44"/>
      <c r="V351" s="44"/>
      <c r="W351" s="44"/>
      <c r="X351" s="44"/>
    </row>
    <row r="352" ht="15" customHeight="1" spans="1:24" x14ac:dyDescent="0.25">
      <c r="A352" s="40"/>
      <c r="B352" s="46"/>
      <c r="C352" s="42"/>
      <c r="D352" s="43"/>
      <c r="E352" s="10"/>
      <c r="F352" s="44"/>
      <c r="G352" s="45"/>
      <c r="H352" s="46"/>
      <c r="I352" s="44"/>
      <c r="J352" s="44"/>
      <c r="K352" s="44"/>
      <c r="L352" s="44"/>
      <c r="M352" s="43"/>
      <c r="N352" s="44"/>
      <c r="O352" s="43"/>
      <c r="P352" s="44"/>
      <c r="Q352" s="49"/>
      <c r="R352" s="44"/>
      <c r="S352" s="44"/>
      <c r="T352" s="44"/>
      <c r="U352" s="44"/>
      <c r="V352" s="44"/>
      <c r="W352" s="44"/>
      <c r="X352" s="44"/>
    </row>
    <row r="353" ht="15" customHeight="1" spans="1:24" x14ac:dyDescent="0.25">
      <c r="A353" s="40"/>
      <c r="B353" s="46"/>
      <c r="C353" s="42"/>
      <c r="D353" s="43"/>
      <c r="E353" s="10"/>
      <c r="F353" s="44"/>
      <c r="G353" s="45"/>
      <c r="H353" s="46"/>
      <c r="I353" s="44"/>
      <c r="J353" s="44"/>
      <c r="K353" s="44"/>
      <c r="L353" s="44"/>
      <c r="M353" s="43"/>
      <c r="N353" s="44"/>
      <c r="O353" s="43"/>
      <c r="P353" s="44"/>
      <c r="Q353" s="49"/>
      <c r="R353" s="44"/>
      <c r="S353" s="44"/>
      <c r="T353" s="44"/>
      <c r="U353" s="44"/>
      <c r="V353" s="44"/>
      <c r="W353" s="44"/>
      <c r="X353" s="44"/>
    </row>
    <row r="354" ht="15" customHeight="1" spans="1:24" x14ac:dyDescent="0.25">
      <c r="A354" s="40"/>
      <c r="B354" s="46"/>
      <c r="C354" s="42"/>
      <c r="D354" s="43"/>
      <c r="E354" s="10"/>
      <c r="F354" s="44"/>
      <c r="G354" s="45"/>
      <c r="H354" s="46"/>
      <c r="I354" s="44"/>
      <c r="J354" s="44"/>
      <c r="K354" s="44"/>
      <c r="L354" s="44"/>
      <c r="M354" s="43"/>
      <c r="N354" s="44"/>
      <c r="O354" s="43"/>
      <c r="P354" s="44"/>
      <c r="Q354" s="49"/>
      <c r="R354" s="44"/>
      <c r="S354" s="44"/>
      <c r="T354" s="44"/>
      <c r="U354" s="44"/>
      <c r="V354" s="44"/>
      <c r="W354" s="44"/>
      <c r="X354" s="44"/>
    </row>
    <row r="355" ht="15" customHeight="1" spans="1:24" x14ac:dyDescent="0.25">
      <c r="A355" s="40"/>
      <c r="B355" s="46"/>
      <c r="C355" s="42"/>
      <c r="D355" s="43"/>
      <c r="E355" s="10"/>
      <c r="F355" s="44"/>
      <c r="G355" s="45"/>
      <c r="H355" s="46"/>
      <c r="I355" s="44"/>
      <c r="J355" s="44"/>
      <c r="K355" s="44"/>
      <c r="L355" s="44"/>
      <c r="M355" s="43"/>
      <c r="N355" s="44"/>
      <c r="O355" s="43"/>
      <c r="P355" s="44"/>
      <c r="Q355" s="49"/>
      <c r="R355" s="44"/>
      <c r="S355" s="44"/>
      <c r="T355" s="44"/>
      <c r="U355" s="44"/>
      <c r="V355" s="44"/>
      <c r="W355" s="44"/>
      <c r="X355" s="44"/>
    </row>
    <row r="356" ht="15" customHeight="1" spans="1:24" x14ac:dyDescent="0.25">
      <c r="A356" s="40"/>
      <c r="B356" s="46"/>
      <c r="C356" s="42"/>
      <c r="D356" s="43"/>
      <c r="E356" s="10"/>
      <c r="F356" s="44"/>
      <c r="G356" s="45"/>
      <c r="H356" s="46"/>
      <c r="I356" s="44"/>
      <c r="J356" s="44"/>
      <c r="K356" s="44"/>
      <c r="L356" s="44"/>
      <c r="M356" s="43"/>
      <c r="N356" s="44"/>
      <c r="O356" s="43"/>
      <c r="P356" s="44"/>
      <c r="Q356" s="49"/>
      <c r="R356" s="44"/>
      <c r="S356" s="44"/>
      <c r="T356" s="44"/>
      <c r="U356" s="44"/>
      <c r="V356" s="44"/>
      <c r="W356" s="44"/>
      <c r="X356" s="44"/>
    </row>
    <row r="357" ht="15" customHeight="1" spans="1:24" x14ac:dyDescent="0.25">
      <c r="A357" s="40"/>
      <c r="B357" s="46"/>
      <c r="C357" s="42"/>
      <c r="D357" s="43"/>
      <c r="E357" s="10"/>
      <c r="F357" s="44"/>
      <c r="G357" s="45"/>
      <c r="H357" s="46"/>
      <c r="I357" s="44"/>
      <c r="J357" s="44"/>
      <c r="K357" s="44"/>
      <c r="L357" s="44"/>
      <c r="M357" s="43"/>
      <c r="N357" s="44"/>
      <c r="O357" s="43"/>
      <c r="P357" s="44"/>
      <c r="Q357" s="49"/>
      <c r="R357" s="44"/>
      <c r="S357" s="44"/>
      <c r="T357" s="44"/>
      <c r="U357" s="44"/>
      <c r="V357" s="44"/>
      <c r="W357" s="44"/>
      <c r="X357" s="44"/>
    </row>
    <row r="358" ht="15" customHeight="1" spans="1:24" x14ac:dyDescent="0.25">
      <c r="A358" s="40"/>
      <c r="B358" s="46"/>
      <c r="C358" s="42"/>
      <c r="D358" s="43"/>
      <c r="E358" s="10"/>
      <c r="F358" s="44"/>
      <c r="G358" s="45"/>
      <c r="H358" s="46"/>
      <c r="I358" s="44"/>
      <c r="J358" s="44"/>
      <c r="K358" s="44"/>
      <c r="L358" s="44"/>
      <c r="M358" s="43"/>
      <c r="N358" s="44"/>
      <c r="O358" s="43"/>
      <c r="P358" s="44"/>
      <c r="Q358" s="49"/>
      <c r="R358" s="44"/>
      <c r="S358" s="44"/>
      <c r="T358" s="44"/>
      <c r="U358" s="44"/>
      <c r="V358" s="44"/>
      <c r="W358" s="44"/>
      <c r="X358" s="44"/>
    </row>
    <row r="359" ht="15" customHeight="1" spans="1:24" x14ac:dyDescent="0.25">
      <c r="A359" s="40"/>
      <c r="B359" s="46"/>
      <c r="C359" s="42"/>
      <c r="D359" s="43"/>
      <c r="E359" s="10"/>
      <c r="F359" s="44"/>
      <c r="G359" s="45"/>
      <c r="H359" s="46"/>
      <c r="I359" s="44"/>
      <c r="J359" s="44"/>
      <c r="K359" s="44"/>
      <c r="L359" s="44"/>
      <c r="M359" s="43"/>
      <c r="N359" s="44"/>
      <c r="O359" s="43"/>
      <c r="P359" s="44"/>
      <c r="Q359" s="49"/>
      <c r="R359" s="44"/>
      <c r="S359" s="44"/>
      <c r="T359" s="44"/>
      <c r="U359" s="44"/>
      <c r="V359" s="44"/>
      <c r="W359" s="44"/>
      <c r="X359" s="44"/>
    </row>
    <row r="360" ht="15" customHeight="1" spans="1:24" x14ac:dyDescent="0.25">
      <c r="A360" s="40"/>
      <c r="B360" s="46"/>
      <c r="C360" s="42"/>
      <c r="D360" s="43"/>
      <c r="E360" s="10"/>
      <c r="F360" s="44"/>
      <c r="G360" s="45"/>
      <c r="H360" s="46"/>
      <c r="I360" s="44"/>
      <c r="J360" s="44"/>
      <c r="K360" s="44"/>
      <c r="L360" s="44"/>
      <c r="M360" s="43"/>
      <c r="N360" s="44"/>
      <c r="O360" s="43"/>
      <c r="P360" s="44"/>
      <c r="Q360" s="49"/>
      <c r="R360" s="44"/>
      <c r="S360" s="44"/>
      <c r="T360" s="44"/>
      <c r="U360" s="44"/>
      <c r="V360" s="44"/>
      <c r="W360" s="44"/>
      <c r="X360" s="44"/>
    </row>
    <row r="361" ht="15" customHeight="1" spans="1:24" x14ac:dyDescent="0.25">
      <c r="A361" s="40"/>
      <c r="B361" s="46"/>
      <c r="C361" s="42"/>
      <c r="D361" s="43"/>
      <c r="E361" s="10"/>
      <c r="F361" s="44"/>
      <c r="G361" s="45"/>
      <c r="H361" s="46"/>
      <c r="I361" s="44"/>
      <c r="J361" s="44"/>
      <c r="K361" s="44"/>
      <c r="L361" s="44"/>
      <c r="M361" s="43"/>
      <c r="N361" s="44"/>
      <c r="O361" s="43"/>
      <c r="P361" s="44"/>
      <c r="Q361" s="49"/>
      <c r="R361" s="44"/>
      <c r="S361" s="44"/>
      <c r="T361" s="44"/>
      <c r="U361" s="44"/>
      <c r="V361" s="44"/>
      <c r="W361" s="44"/>
      <c r="X361" s="44"/>
    </row>
    <row r="362" ht="15" customHeight="1" spans="1:24" x14ac:dyDescent="0.25">
      <c r="A362" s="40"/>
      <c r="B362" s="46"/>
      <c r="C362" s="42"/>
      <c r="D362" s="43"/>
      <c r="E362" s="10"/>
      <c r="F362" s="44"/>
      <c r="G362" s="45"/>
      <c r="H362" s="46"/>
      <c r="I362" s="44"/>
      <c r="J362" s="44"/>
      <c r="K362" s="44"/>
      <c r="L362" s="44"/>
      <c r="M362" s="43"/>
      <c r="N362" s="44"/>
      <c r="O362" s="43"/>
      <c r="P362" s="44"/>
      <c r="Q362" s="49"/>
      <c r="R362" s="44"/>
      <c r="S362" s="44"/>
      <c r="T362" s="44"/>
      <c r="U362" s="44"/>
      <c r="V362" s="44"/>
      <c r="W362" s="44"/>
      <c r="X362" s="44"/>
    </row>
    <row r="363" ht="15" customHeight="1" spans="1:24" x14ac:dyDescent="0.25">
      <c r="A363" s="40"/>
      <c r="B363" s="46"/>
      <c r="C363" s="42"/>
      <c r="D363" s="43"/>
      <c r="E363" s="10"/>
      <c r="F363" s="44"/>
      <c r="G363" s="45"/>
      <c r="H363" s="46"/>
      <c r="I363" s="44"/>
      <c r="J363" s="44"/>
      <c r="K363" s="44"/>
      <c r="L363" s="44"/>
      <c r="M363" s="43"/>
      <c r="N363" s="44"/>
      <c r="O363" s="43"/>
      <c r="P363" s="44"/>
      <c r="Q363" s="49"/>
      <c r="R363" s="44"/>
      <c r="S363" s="44"/>
      <c r="T363" s="44"/>
      <c r="U363" s="44"/>
      <c r="V363" s="44"/>
      <c r="W363" s="44"/>
      <c r="X363" s="44"/>
    </row>
    <row r="364" ht="15" customHeight="1" spans="1:24" x14ac:dyDescent="0.25">
      <c r="A364" s="40"/>
      <c r="B364" s="46"/>
      <c r="C364" s="42"/>
      <c r="D364" s="43"/>
      <c r="E364" s="10"/>
      <c r="F364" s="44"/>
      <c r="G364" s="45"/>
      <c r="H364" s="46"/>
      <c r="I364" s="44"/>
      <c r="J364" s="44"/>
      <c r="K364" s="44"/>
      <c r="L364" s="44"/>
      <c r="M364" s="43"/>
      <c r="N364" s="44"/>
      <c r="O364" s="43"/>
      <c r="P364" s="44"/>
      <c r="Q364" s="49"/>
      <c r="R364" s="44"/>
      <c r="S364" s="44"/>
      <c r="T364" s="44"/>
      <c r="U364" s="44"/>
      <c r="V364" s="44"/>
      <c r="W364" s="44"/>
      <c r="X364" s="44"/>
    </row>
    <row r="365" ht="15" customHeight="1" spans="1:24" x14ac:dyDescent="0.25">
      <c r="A365" s="40"/>
      <c r="B365" s="46"/>
      <c r="C365" s="42"/>
      <c r="D365" s="43"/>
      <c r="E365" s="10"/>
      <c r="F365" s="44"/>
      <c r="G365" s="45"/>
      <c r="H365" s="46"/>
      <c r="I365" s="44"/>
      <c r="J365" s="44"/>
      <c r="K365" s="44"/>
      <c r="L365" s="44"/>
      <c r="M365" s="43"/>
      <c r="N365" s="44"/>
      <c r="O365" s="43"/>
      <c r="P365" s="44"/>
      <c r="Q365" s="49"/>
      <c r="R365" s="44"/>
      <c r="S365" s="44"/>
      <c r="T365" s="44"/>
      <c r="U365" s="44"/>
      <c r="V365" s="44"/>
      <c r="W365" s="44"/>
      <c r="X365" s="44"/>
    </row>
    <row r="366" ht="15" customHeight="1" spans="1:24" x14ac:dyDescent="0.25">
      <c r="A366" s="40"/>
      <c r="B366" s="46"/>
      <c r="C366" s="42"/>
      <c r="D366" s="43"/>
      <c r="E366" s="10"/>
      <c r="F366" s="44"/>
      <c r="G366" s="45"/>
      <c r="H366" s="46"/>
      <c r="I366" s="44"/>
      <c r="J366" s="44"/>
      <c r="K366" s="44"/>
      <c r="L366" s="44"/>
      <c r="M366" s="43"/>
      <c r="N366" s="44"/>
      <c r="O366" s="43"/>
      <c r="P366" s="44"/>
      <c r="Q366" s="49"/>
      <c r="R366" s="44"/>
      <c r="S366" s="44"/>
      <c r="T366" s="44"/>
      <c r="U366" s="44"/>
      <c r="V366" s="44"/>
      <c r="W366" s="44"/>
      <c r="X366" s="44"/>
    </row>
    <row r="367" ht="15" customHeight="1" spans="1:24" x14ac:dyDescent="0.25">
      <c r="A367" s="40"/>
      <c r="B367" s="46"/>
      <c r="C367" s="42"/>
      <c r="D367" s="43"/>
      <c r="E367" s="10"/>
      <c r="F367" s="44"/>
      <c r="G367" s="45"/>
      <c r="H367" s="46"/>
      <c r="I367" s="44"/>
      <c r="J367" s="44"/>
      <c r="K367" s="44"/>
      <c r="L367" s="44"/>
      <c r="M367" s="43"/>
      <c r="N367" s="44"/>
      <c r="O367" s="43"/>
      <c r="P367" s="44"/>
      <c r="Q367" s="49"/>
      <c r="R367" s="44"/>
      <c r="S367" s="44"/>
      <c r="T367" s="44"/>
      <c r="U367" s="44"/>
      <c r="V367" s="44"/>
      <c r="W367" s="44"/>
      <c r="X367" s="44"/>
    </row>
    <row r="368" ht="15" customHeight="1" spans="1:24" x14ac:dyDescent="0.25">
      <c r="A368" s="40"/>
      <c r="B368" s="46"/>
      <c r="C368" s="42"/>
      <c r="D368" s="43"/>
      <c r="E368" s="10"/>
      <c r="F368" s="44"/>
      <c r="G368" s="45"/>
      <c r="H368" s="46"/>
      <c r="I368" s="44"/>
      <c r="J368" s="44"/>
      <c r="K368" s="44"/>
      <c r="L368" s="44"/>
      <c r="M368" s="43"/>
      <c r="N368" s="44"/>
      <c r="O368" s="43"/>
      <c r="P368" s="44"/>
      <c r="Q368" s="49"/>
      <c r="R368" s="44"/>
      <c r="S368" s="44"/>
      <c r="T368" s="44"/>
      <c r="U368" s="44"/>
      <c r="V368" s="44"/>
      <c r="W368" s="44"/>
      <c r="X368" s="44"/>
    </row>
    <row r="369" ht="15" customHeight="1" spans="1:24" x14ac:dyDescent="0.25">
      <c r="A369" s="40"/>
      <c r="B369" s="46"/>
      <c r="C369" s="42"/>
      <c r="D369" s="43"/>
      <c r="E369" s="10"/>
      <c r="F369" s="44"/>
      <c r="G369" s="45"/>
      <c r="H369" s="46"/>
      <c r="I369" s="44"/>
      <c r="J369" s="44"/>
      <c r="K369" s="44"/>
      <c r="L369" s="44"/>
      <c r="M369" s="43"/>
      <c r="N369" s="44"/>
      <c r="O369" s="43"/>
      <c r="P369" s="44"/>
      <c r="Q369" s="49"/>
      <c r="R369" s="44"/>
      <c r="S369" s="44"/>
      <c r="T369" s="44"/>
      <c r="U369" s="44"/>
      <c r="V369" s="44"/>
      <c r="W369" s="44"/>
      <c r="X369" s="44"/>
    </row>
    <row r="370" ht="15" customHeight="1" spans="1:24" x14ac:dyDescent="0.25">
      <c r="A370" s="40"/>
      <c r="B370" s="46"/>
      <c r="C370" s="42"/>
      <c r="D370" s="43"/>
      <c r="E370" s="10"/>
      <c r="F370" s="44"/>
      <c r="G370" s="45"/>
      <c r="H370" s="46"/>
      <c r="I370" s="44"/>
      <c r="J370" s="44"/>
      <c r="K370" s="44"/>
      <c r="L370" s="44"/>
      <c r="M370" s="43"/>
      <c r="N370" s="44"/>
      <c r="O370" s="43"/>
      <c r="P370" s="44"/>
      <c r="Q370" s="49"/>
      <c r="R370" s="44"/>
      <c r="S370" s="44"/>
      <c r="T370" s="44"/>
      <c r="U370" s="44"/>
      <c r="V370" s="44"/>
      <c r="W370" s="44"/>
      <c r="X370" s="44"/>
    </row>
    <row r="371" ht="15" customHeight="1" spans="1:24" x14ac:dyDescent="0.25">
      <c r="A371" s="40"/>
      <c r="B371" s="46"/>
      <c r="C371" s="42"/>
      <c r="D371" s="43"/>
      <c r="E371" s="10"/>
      <c r="F371" s="44"/>
      <c r="G371" s="45"/>
      <c r="H371" s="46"/>
      <c r="I371" s="44"/>
      <c r="J371" s="44"/>
      <c r="K371" s="44"/>
      <c r="L371" s="44"/>
      <c r="M371" s="43"/>
      <c r="N371" s="44"/>
      <c r="O371" s="43"/>
      <c r="P371" s="44"/>
      <c r="Q371" s="49"/>
      <c r="R371" s="44"/>
      <c r="S371" s="44"/>
      <c r="T371" s="44"/>
      <c r="U371" s="44"/>
      <c r="V371" s="44"/>
      <c r="W371" s="44"/>
      <c r="X371" s="44"/>
    </row>
    <row r="372" ht="15" customHeight="1" spans="1:24" x14ac:dyDescent="0.25">
      <c r="A372" s="40"/>
      <c r="B372" s="46"/>
      <c r="C372" s="42"/>
      <c r="D372" s="43"/>
      <c r="E372" s="10"/>
      <c r="F372" s="44"/>
      <c r="G372" s="45"/>
      <c r="H372" s="46"/>
      <c r="I372" s="44"/>
      <c r="J372" s="44"/>
      <c r="K372" s="44"/>
      <c r="L372" s="44"/>
      <c r="M372" s="43"/>
      <c r="N372" s="44"/>
      <c r="O372" s="43"/>
      <c r="P372" s="44"/>
      <c r="Q372" s="49"/>
      <c r="R372" s="44"/>
      <c r="S372" s="44"/>
      <c r="T372" s="44"/>
      <c r="U372" s="44"/>
      <c r="V372" s="44"/>
      <c r="W372" s="44"/>
      <c r="X372" s="44"/>
    </row>
    <row r="373" ht="15" customHeight="1" spans="1:24" x14ac:dyDescent="0.25">
      <c r="A373" s="40"/>
      <c r="B373" s="46"/>
      <c r="C373" s="42"/>
      <c r="D373" s="43"/>
      <c r="E373" s="10"/>
      <c r="F373" s="44"/>
      <c r="G373" s="45"/>
      <c r="H373" s="46"/>
      <c r="I373" s="44"/>
      <c r="J373" s="44"/>
      <c r="K373" s="44"/>
      <c r="L373" s="44"/>
      <c r="M373" s="43"/>
      <c r="N373" s="44"/>
      <c r="O373" s="43"/>
      <c r="P373" s="44"/>
      <c r="Q373" s="49"/>
      <c r="R373" s="44"/>
      <c r="S373" s="44"/>
      <c r="T373" s="44"/>
      <c r="U373" s="44"/>
      <c r="V373" s="44"/>
      <c r="W373" s="44"/>
      <c r="X373" s="44"/>
    </row>
    <row r="374" ht="15" customHeight="1" spans="1:24" x14ac:dyDescent="0.25">
      <c r="A374" s="40"/>
      <c r="B374" s="46"/>
      <c r="C374" s="42"/>
      <c r="D374" s="43"/>
      <c r="E374" s="10"/>
      <c r="F374" s="44"/>
      <c r="G374" s="45"/>
      <c r="H374" s="46"/>
      <c r="I374" s="44"/>
      <c r="J374" s="44"/>
      <c r="K374" s="44"/>
      <c r="L374" s="44"/>
      <c r="M374" s="43"/>
      <c r="N374" s="44"/>
      <c r="O374" s="43"/>
      <c r="P374" s="44"/>
      <c r="Q374" s="49"/>
      <c r="R374" s="44"/>
      <c r="S374" s="44"/>
      <c r="T374" s="44"/>
      <c r="U374" s="44"/>
      <c r="V374" s="44"/>
      <c r="W374" s="44"/>
      <c r="X374" s="44"/>
    </row>
    <row r="375" ht="15" customHeight="1" spans="1:24" x14ac:dyDescent="0.25">
      <c r="A375" s="40"/>
      <c r="B375" s="46"/>
      <c r="C375" s="42"/>
      <c r="D375" s="43"/>
      <c r="E375" s="10"/>
      <c r="F375" s="44"/>
      <c r="G375" s="45"/>
      <c r="H375" s="46"/>
      <c r="I375" s="44"/>
      <c r="J375" s="44"/>
      <c r="K375" s="44"/>
      <c r="L375" s="44"/>
      <c r="M375" s="43"/>
      <c r="N375" s="44"/>
      <c r="O375" s="43"/>
      <c r="P375" s="44"/>
      <c r="Q375" s="49"/>
      <c r="R375" s="44"/>
      <c r="S375" s="44"/>
      <c r="T375" s="44"/>
      <c r="U375" s="44"/>
      <c r="V375" s="44"/>
      <c r="W375" s="44"/>
      <c r="X375" s="44"/>
    </row>
    <row r="376" ht="15" customHeight="1" spans="1:24" x14ac:dyDescent="0.25">
      <c r="A376" s="40"/>
      <c r="B376" s="46"/>
      <c r="C376" s="42"/>
      <c r="D376" s="43"/>
      <c r="E376" s="10"/>
      <c r="F376" s="44"/>
      <c r="G376" s="45"/>
      <c r="H376" s="46"/>
      <c r="I376" s="44"/>
      <c r="J376" s="44"/>
      <c r="K376" s="44"/>
      <c r="L376" s="44"/>
      <c r="M376" s="43"/>
      <c r="N376" s="44"/>
      <c r="O376" s="43"/>
      <c r="P376" s="44"/>
      <c r="Q376" s="49"/>
      <c r="R376" s="44"/>
      <c r="S376" s="44"/>
      <c r="T376" s="44"/>
      <c r="U376" s="44"/>
      <c r="V376" s="44"/>
      <c r="W376" s="44"/>
      <c r="X376" s="44"/>
    </row>
    <row r="377" ht="15" customHeight="1" spans="1:24" x14ac:dyDescent="0.25">
      <c r="A377" s="40"/>
      <c r="B377" s="46"/>
      <c r="C377" s="42"/>
      <c r="D377" s="43"/>
      <c r="E377" s="10"/>
      <c r="F377" s="44"/>
      <c r="G377" s="45"/>
      <c r="H377" s="46"/>
      <c r="I377" s="44"/>
      <c r="J377" s="44"/>
      <c r="K377" s="44"/>
      <c r="L377" s="44"/>
      <c r="M377" s="43"/>
      <c r="N377" s="44"/>
      <c r="O377" s="43"/>
      <c r="P377" s="44"/>
      <c r="Q377" s="49"/>
      <c r="R377" s="44"/>
      <c r="S377" s="44"/>
      <c r="T377" s="44"/>
      <c r="U377" s="44"/>
      <c r="V377" s="44"/>
      <c r="W377" s="44"/>
      <c r="X377" s="44"/>
    </row>
    <row r="378" ht="15" customHeight="1" spans="1:24" x14ac:dyDescent="0.25">
      <c r="A378" s="40"/>
      <c r="B378" s="46"/>
      <c r="C378" s="42"/>
      <c r="D378" s="43"/>
      <c r="E378" s="10"/>
      <c r="F378" s="44"/>
      <c r="G378" s="45"/>
      <c r="H378" s="46"/>
      <c r="I378" s="44"/>
      <c r="J378" s="44"/>
      <c r="K378" s="44"/>
      <c r="L378" s="44"/>
      <c r="M378" s="43"/>
      <c r="N378" s="44"/>
      <c r="O378" s="43"/>
      <c r="P378" s="44"/>
      <c r="Q378" s="49"/>
      <c r="R378" s="44"/>
      <c r="S378" s="44"/>
      <c r="T378" s="44"/>
      <c r="U378" s="44"/>
      <c r="V378" s="44"/>
      <c r="W378" s="44"/>
      <c r="X378" s="44"/>
    </row>
    <row r="379" ht="15" customHeight="1" spans="1:24" x14ac:dyDescent="0.25">
      <c r="A379" s="40"/>
      <c r="B379" s="46"/>
      <c r="C379" s="42"/>
      <c r="D379" s="43"/>
      <c r="E379" s="10"/>
      <c r="F379" s="44"/>
      <c r="G379" s="45"/>
      <c r="H379" s="46"/>
      <c r="I379" s="44"/>
      <c r="J379" s="44"/>
      <c r="K379" s="44"/>
      <c r="L379" s="44"/>
      <c r="M379" s="43"/>
      <c r="N379" s="44"/>
      <c r="O379" s="43"/>
      <c r="P379" s="44"/>
      <c r="Q379" s="49"/>
      <c r="R379" s="44"/>
      <c r="S379" s="44"/>
      <c r="T379" s="44"/>
      <c r="U379" s="44"/>
      <c r="V379" s="44"/>
      <c r="W379" s="44"/>
      <c r="X379" s="44"/>
    </row>
    <row r="380" ht="15" customHeight="1" spans="1:24" x14ac:dyDescent="0.25">
      <c r="A380" s="40"/>
      <c r="B380" s="46"/>
      <c r="C380" s="42"/>
      <c r="D380" s="43"/>
      <c r="E380" s="10"/>
      <c r="F380" s="44"/>
      <c r="G380" s="45"/>
      <c r="H380" s="46"/>
      <c r="I380" s="44"/>
      <c r="J380" s="44"/>
      <c r="K380" s="44"/>
      <c r="L380" s="44"/>
      <c r="M380" s="43"/>
      <c r="N380" s="44"/>
      <c r="O380" s="43"/>
      <c r="P380" s="44"/>
      <c r="Q380" s="49"/>
      <c r="R380" s="44"/>
      <c r="S380" s="44"/>
      <c r="T380" s="44"/>
      <c r="U380" s="44"/>
      <c r="V380" s="44"/>
      <c r="W380" s="44"/>
      <c r="X380" s="44"/>
    </row>
    <row r="381" ht="15" customHeight="1" spans="1:24" x14ac:dyDescent="0.25">
      <c r="A381" s="40"/>
      <c r="B381" s="46"/>
      <c r="C381" s="42"/>
      <c r="D381" s="43"/>
      <c r="E381" s="10"/>
      <c r="F381" s="44"/>
      <c r="G381" s="45"/>
      <c r="H381" s="46"/>
      <c r="I381" s="44"/>
      <c r="J381" s="44"/>
      <c r="K381" s="44"/>
      <c r="L381" s="44"/>
      <c r="M381" s="43"/>
      <c r="N381" s="44"/>
      <c r="O381" s="43"/>
      <c r="P381" s="44"/>
      <c r="Q381" s="49"/>
      <c r="R381" s="44"/>
      <c r="S381" s="44"/>
      <c r="T381" s="44"/>
      <c r="U381" s="44"/>
      <c r="V381" s="44"/>
      <c r="W381" s="44"/>
      <c r="X381" s="44"/>
    </row>
    <row r="382" ht="15" customHeight="1" spans="1:24" x14ac:dyDescent="0.25">
      <c r="A382" s="40"/>
      <c r="B382" s="46"/>
      <c r="C382" s="42"/>
      <c r="D382" s="43"/>
      <c r="E382" s="10"/>
      <c r="F382" s="44"/>
      <c r="G382" s="45"/>
      <c r="H382" s="46"/>
      <c r="I382" s="44"/>
      <c r="J382" s="44"/>
      <c r="K382" s="44"/>
      <c r="L382" s="44"/>
      <c r="M382" s="43"/>
      <c r="N382" s="44"/>
      <c r="O382" s="43"/>
      <c r="P382" s="44"/>
      <c r="Q382" s="49"/>
      <c r="R382" s="44"/>
      <c r="S382" s="44"/>
      <c r="T382" s="44"/>
      <c r="U382" s="44"/>
      <c r="V382" s="44"/>
      <c r="W382" s="44"/>
      <c r="X382" s="44"/>
    </row>
    <row r="383" ht="15" customHeight="1" spans="1:24" x14ac:dyDescent="0.25">
      <c r="A383" s="40"/>
      <c r="B383" s="46"/>
      <c r="C383" s="42"/>
      <c r="D383" s="43"/>
      <c r="E383" s="10"/>
      <c r="F383" s="44"/>
      <c r="G383" s="45"/>
      <c r="H383" s="46"/>
      <c r="I383" s="44"/>
      <c r="J383" s="44"/>
      <c r="K383" s="44"/>
      <c r="L383" s="44"/>
      <c r="M383" s="43"/>
      <c r="N383" s="44"/>
      <c r="O383" s="43"/>
      <c r="P383" s="44"/>
      <c r="Q383" s="49"/>
      <c r="R383" s="44"/>
      <c r="S383" s="44"/>
      <c r="T383" s="44"/>
      <c r="U383" s="44"/>
      <c r="V383" s="44"/>
      <c r="W383" s="44"/>
      <c r="X383" s="44"/>
    </row>
    <row r="384" ht="15" customHeight="1" spans="1:24" x14ac:dyDescent="0.25">
      <c r="A384" s="40"/>
      <c r="B384" s="46"/>
      <c r="C384" s="42"/>
      <c r="D384" s="43"/>
      <c r="E384" s="10"/>
      <c r="F384" s="44"/>
      <c r="G384" s="45"/>
      <c r="H384" s="46"/>
      <c r="I384" s="44"/>
      <c r="J384" s="44"/>
      <c r="K384" s="44"/>
      <c r="L384" s="44"/>
      <c r="M384" s="43"/>
      <c r="N384" s="44"/>
      <c r="O384" s="43"/>
      <c r="P384" s="44"/>
      <c r="Q384" s="49"/>
      <c r="R384" s="44"/>
      <c r="S384" s="44"/>
      <c r="T384" s="44"/>
      <c r="U384" s="44"/>
      <c r="V384" s="44"/>
      <c r="W384" s="44"/>
      <c r="X384" s="44"/>
    </row>
    <row r="385" ht="15" customHeight="1" spans="1:24" x14ac:dyDescent="0.25">
      <c r="A385" s="40"/>
      <c r="B385" s="46"/>
      <c r="C385" s="42"/>
      <c r="D385" s="43"/>
      <c r="E385" s="10"/>
      <c r="F385" s="44"/>
      <c r="G385" s="45"/>
      <c r="H385" s="46"/>
      <c r="I385" s="44"/>
      <c r="J385" s="44"/>
      <c r="K385" s="44"/>
      <c r="L385" s="44"/>
      <c r="M385" s="43"/>
      <c r="N385" s="44"/>
      <c r="O385" s="43"/>
      <c r="P385" s="44"/>
      <c r="Q385" s="49"/>
      <c r="R385" s="44"/>
      <c r="S385" s="44"/>
      <c r="T385" s="44"/>
      <c r="U385" s="44"/>
      <c r="V385" s="44"/>
      <c r="W385" s="44"/>
      <c r="X385" s="44"/>
    </row>
    <row r="386" ht="15" customHeight="1" spans="1:24" x14ac:dyDescent="0.25">
      <c r="A386" s="40"/>
      <c r="B386" s="46"/>
      <c r="C386" s="42"/>
      <c r="D386" s="43"/>
      <c r="E386" s="10"/>
      <c r="F386" s="44"/>
      <c r="G386" s="45"/>
      <c r="H386" s="46"/>
      <c r="I386" s="44"/>
      <c r="J386" s="44"/>
      <c r="K386" s="44"/>
      <c r="L386" s="44"/>
      <c r="M386" s="43"/>
      <c r="N386" s="44"/>
      <c r="O386" s="43"/>
      <c r="P386" s="44"/>
      <c r="Q386" s="49"/>
      <c r="R386" s="44"/>
      <c r="S386" s="44"/>
      <c r="T386" s="44"/>
      <c r="U386" s="44"/>
      <c r="V386" s="44"/>
      <c r="W386" s="44"/>
      <c r="X386" s="44"/>
    </row>
    <row r="387" ht="15" customHeight="1" spans="1:24" x14ac:dyDescent="0.25">
      <c r="A387" s="40"/>
      <c r="B387" s="46"/>
      <c r="C387" s="42"/>
      <c r="D387" s="43"/>
      <c r="E387" s="10"/>
      <c r="F387" s="44"/>
      <c r="G387" s="45"/>
      <c r="H387" s="46"/>
      <c r="I387" s="44"/>
      <c r="J387" s="44"/>
      <c r="K387" s="44"/>
      <c r="L387" s="44"/>
      <c r="M387" s="43"/>
      <c r="N387" s="44"/>
      <c r="O387" s="43"/>
      <c r="P387" s="44"/>
      <c r="Q387" s="49"/>
      <c r="R387" s="44"/>
      <c r="S387" s="44"/>
      <c r="T387" s="44"/>
      <c r="U387" s="44"/>
      <c r="V387" s="44"/>
      <c r="W387" s="44"/>
      <c r="X387" s="44"/>
    </row>
    <row r="388" ht="15" customHeight="1" spans="1:24" x14ac:dyDescent="0.25">
      <c r="A388" s="40"/>
      <c r="B388" s="46"/>
      <c r="C388" s="42"/>
      <c r="D388" s="43"/>
      <c r="E388" s="10"/>
      <c r="F388" s="44"/>
      <c r="G388" s="45"/>
      <c r="H388" s="46"/>
      <c r="I388" s="44"/>
      <c r="J388" s="44"/>
      <c r="K388" s="44"/>
      <c r="L388" s="44"/>
      <c r="M388" s="43"/>
      <c r="N388" s="44"/>
      <c r="O388" s="43"/>
      <c r="P388" s="44"/>
      <c r="Q388" s="49"/>
      <c r="R388" s="44"/>
      <c r="S388" s="44"/>
      <c r="T388" s="44"/>
      <c r="U388" s="44"/>
      <c r="V388" s="44"/>
      <c r="W388" s="44"/>
      <c r="X388" s="44"/>
    </row>
    <row r="389" ht="15" customHeight="1" spans="1:24" x14ac:dyDescent="0.25">
      <c r="A389" s="40"/>
      <c r="B389" s="46"/>
      <c r="C389" s="42"/>
      <c r="D389" s="43"/>
      <c r="E389" s="10"/>
      <c r="F389" s="44"/>
      <c r="G389" s="45"/>
      <c r="H389" s="46"/>
      <c r="I389" s="44"/>
      <c r="J389" s="44"/>
      <c r="K389" s="44"/>
      <c r="L389" s="44"/>
      <c r="M389" s="43"/>
      <c r="N389" s="44"/>
      <c r="O389" s="43"/>
      <c r="P389" s="44"/>
      <c r="Q389" s="49"/>
      <c r="R389" s="44"/>
      <c r="S389" s="44"/>
      <c r="T389" s="44"/>
      <c r="U389" s="44"/>
      <c r="V389" s="44"/>
      <c r="W389" s="44"/>
      <c r="X389" s="44"/>
    </row>
    <row r="390" ht="15" customHeight="1" spans="1:24" x14ac:dyDescent="0.25">
      <c r="A390" s="40"/>
      <c r="B390" s="46"/>
      <c r="C390" s="42"/>
      <c r="D390" s="43"/>
      <c r="E390" s="10"/>
      <c r="F390" s="44"/>
      <c r="G390" s="45"/>
      <c r="H390" s="46"/>
      <c r="I390" s="44"/>
      <c r="J390" s="44"/>
      <c r="K390" s="44"/>
      <c r="L390" s="44"/>
      <c r="M390" s="43"/>
      <c r="N390" s="44"/>
      <c r="O390" s="43"/>
      <c r="P390" s="44"/>
      <c r="Q390" s="49"/>
      <c r="R390" s="44"/>
      <c r="S390" s="44"/>
      <c r="T390" s="44"/>
      <c r="U390" s="44"/>
      <c r="V390" s="44"/>
      <c r="W390" s="44"/>
      <c r="X390" s="44"/>
    </row>
    <row r="391" ht="15" customHeight="1" spans="1:24" x14ac:dyDescent="0.25">
      <c r="A391" s="40"/>
      <c r="B391" s="46"/>
      <c r="C391" s="42"/>
      <c r="D391" s="43"/>
      <c r="E391" s="10"/>
      <c r="F391" s="44"/>
      <c r="G391" s="45"/>
      <c r="H391" s="46"/>
      <c r="I391" s="44"/>
      <c r="J391" s="44"/>
      <c r="K391" s="44"/>
      <c r="L391" s="44"/>
      <c r="M391" s="43"/>
      <c r="N391" s="44"/>
      <c r="O391" s="43"/>
      <c r="P391" s="44"/>
      <c r="Q391" s="49"/>
      <c r="R391" s="44"/>
      <c r="S391" s="44"/>
      <c r="T391" s="44"/>
      <c r="U391" s="44"/>
      <c r="V391" s="44"/>
      <c r="W391" s="44"/>
      <c r="X391" s="44"/>
    </row>
    <row r="392" ht="15" customHeight="1" spans="1:24" x14ac:dyDescent="0.25">
      <c r="A392" s="40"/>
      <c r="B392" s="46"/>
      <c r="C392" s="42"/>
      <c r="D392" s="43"/>
      <c r="E392" s="10"/>
      <c r="F392" s="44"/>
      <c r="G392" s="45"/>
      <c r="H392" s="46"/>
      <c r="I392" s="44"/>
      <c r="J392" s="44"/>
      <c r="K392" s="44"/>
      <c r="L392" s="44"/>
      <c r="M392" s="43"/>
      <c r="N392" s="44"/>
      <c r="O392" s="43"/>
      <c r="P392" s="44"/>
      <c r="Q392" s="49"/>
      <c r="R392" s="44"/>
      <c r="S392" s="44"/>
      <c r="T392" s="44"/>
      <c r="U392" s="44"/>
      <c r="V392" s="44"/>
      <c r="W392" s="44"/>
      <c r="X392" s="44"/>
    </row>
    <row r="393" ht="15" customHeight="1" spans="1:24" x14ac:dyDescent="0.25">
      <c r="A393" s="40"/>
      <c r="B393" s="46"/>
      <c r="C393" s="42"/>
      <c r="D393" s="43"/>
      <c r="E393" s="10"/>
      <c r="F393" s="44"/>
      <c r="G393" s="45"/>
      <c r="H393" s="46"/>
      <c r="I393" s="44"/>
      <c r="J393" s="44"/>
      <c r="K393" s="44"/>
      <c r="L393" s="44"/>
      <c r="M393" s="43"/>
      <c r="N393" s="44"/>
      <c r="O393" s="43"/>
      <c r="P393" s="44"/>
      <c r="Q393" s="49"/>
      <c r="R393" s="44"/>
      <c r="S393" s="44"/>
      <c r="T393" s="44"/>
      <c r="U393" s="44"/>
      <c r="V393" s="44"/>
      <c r="W393" s="44"/>
      <c r="X393" s="44"/>
    </row>
    <row r="394" ht="15" customHeight="1" spans="1:24" x14ac:dyDescent="0.25">
      <c r="A394" s="40"/>
      <c r="B394" s="46"/>
      <c r="C394" s="42"/>
      <c r="D394" s="43"/>
      <c r="E394" s="10"/>
      <c r="F394" s="44"/>
      <c r="G394" s="45"/>
      <c r="H394" s="46"/>
      <c r="I394" s="44"/>
      <c r="J394" s="44"/>
      <c r="K394" s="44"/>
      <c r="L394" s="44"/>
      <c r="M394" s="43"/>
      <c r="N394" s="44"/>
      <c r="O394" s="43"/>
      <c r="P394" s="44"/>
      <c r="Q394" s="49"/>
      <c r="R394" s="44"/>
      <c r="S394" s="44"/>
      <c r="T394" s="44"/>
      <c r="U394" s="44"/>
      <c r="V394" s="44"/>
      <c r="W394" s="44"/>
      <c r="X394" s="44"/>
    </row>
    <row r="395" ht="15" customHeight="1" spans="1:24" x14ac:dyDescent="0.25">
      <c r="A395" s="40"/>
      <c r="B395" s="46"/>
      <c r="C395" s="42"/>
      <c r="D395" s="43"/>
      <c r="E395" s="10"/>
      <c r="F395" s="44"/>
      <c r="G395" s="45"/>
      <c r="H395" s="46"/>
      <c r="I395" s="44"/>
      <c r="J395" s="44"/>
      <c r="K395" s="44"/>
      <c r="L395" s="44"/>
      <c r="M395" s="43"/>
      <c r="N395" s="44"/>
      <c r="O395" s="43"/>
      <c r="P395" s="44"/>
      <c r="Q395" s="49"/>
      <c r="R395" s="44"/>
      <c r="S395" s="44"/>
      <c r="T395" s="44"/>
      <c r="U395" s="44"/>
      <c r="V395" s="44"/>
      <c r="W395" s="44"/>
      <c r="X395" s="44"/>
    </row>
    <row r="396" ht="15" customHeight="1" spans="1:24" x14ac:dyDescent="0.25">
      <c r="A396" s="40"/>
      <c r="B396" s="46"/>
      <c r="C396" s="42"/>
      <c r="D396" s="43"/>
      <c r="E396" s="10"/>
      <c r="F396" s="44"/>
      <c r="G396" s="45"/>
      <c r="H396" s="46"/>
      <c r="I396" s="44"/>
      <c r="J396" s="44"/>
      <c r="K396" s="44"/>
      <c r="L396" s="44"/>
      <c r="M396" s="43"/>
      <c r="N396" s="44"/>
      <c r="O396" s="43"/>
      <c r="P396" s="44"/>
      <c r="Q396" s="49"/>
      <c r="R396" s="44"/>
      <c r="S396" s="44"/>
      <c r="T396" s="44"/>
      <c r="U396" s="44"/>
      <c r="V396" s="44"/>
      <c r="W396" s="44"/>
      <c r="X396" s="44"/>
    </row>
  </sheetData>
  <autoFilter ref="A1:X396"/>
  <pageMargins left="0.7" right="0.7" top="0.75" bottom="0.75" header="0.3" footer="0.3"/>
  <pageSetup paperSize="9" orientation="portrait" horizontalDpi="4294967293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양식</vt:lpstr>
      <vt:lpstr>SUMMARY</vt:lpstr>
      <vt:lpstr>발주서</vt:lpstr>
      <vt:lpstr>배송지</vt:lpstr>
      <vt:lpstr>상품코드</vt:lpstr>
      <vt:lpstr>상품정보2</vt:lpstr>
      <vt:lpstr>상품정보(1)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:title/>
  <dc:subject/>
  <dc:description/>
  <cp:keywords/>
  <cp:category/>
  <cp:lastModifiedBy>Admin</cp:lastModifiedBy>
  <cp:contentStatus/>
  <dcterms:created xsi:type="dcterms:W3CDTF">2023-09-12T23:43:03Z</dcterms:created>
  <dcterms:modified xsi:type="dcterms:W3CDTF">2026-07-10T04:13:21Z</dcterms:modified>
</cp:coreProperties>
</file>